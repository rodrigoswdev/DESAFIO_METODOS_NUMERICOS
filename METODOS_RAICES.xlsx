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A2F82434-50A9-4770-8614-B8B6B343313F}" xr6:coauthVersionLast="47" xr6:coauthVersionMax="47" xr10:uidLastSave="{00000000-0000-0000-0000-000000000000}"/>
  <bookViews>
    <workbookView xWindow="-120" yWindow="-120" windowWidth="20730" windowHeight="11040" activeTab="2" xr2:uid="{DD6722A1-C2C8-4407-87C0-DF08FDDAB198}"/>
  </bookViews>
  <sheets>
    <sheet name="EJERCICIO1_BISECCION" sheetId="1" r:id="rId1"/>
    <sheet name="EJ1_NEWTON_RAPHSON" sheetId="2" r:id="rId2"/>
    <sheet name="SECANTE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7" i="3" l="1"/>
  <c r="B27" i="3"/>
  <c r="C27" i="3"/>
  <c r="D27" i="3"/>
  <c r="E27" i="3"/>
  <c r="C28" i="3" s="1"/>
  <c r="A28" i="3"/>
  <c r="A29" i="3" s="1"/>
  <c r="A30" i="3" s="1"/>
  <c r="A31" i="3" s="1"/>
  <c r="A32" i="3" s="1"/>
  <c r="A33" i="3" s="1"/>
  <c r="A34" i="3" s="1"/>
  <c r="B28" i="3"/>
  <c r="A20" i="3"/>
  <c r="A21" i="3" s="1"/>
  <c r="A22" i="3" s="1"/>
  <c r="A23" i="3" s="1"/>
  <c r="A24" i="3" s="1"/>
  <c r="A25" i="3" s="1"/>
  <c r="A26" i="3" s="1"/>
  <c r="B20" i="3"/>
  <c r="C20" i="3"/>
  <c r="D20" i="3"/>
  <c r="E20" i="3" s="1"/>
  <c r="C21" i="3" s="1"/>
  <c r="B19" i="3"/>
  <c r="A19" i="3"/>
  <c r="E18" i="3"/>
  <c r="C18" i="3"/>
  <c r="A4" i="3"/>
  <c r="A5" i="3" s="1"/>
  <c r="A6" i="3" s="1"/>
  <c r="A7" i="3" s="1"/>
  <c r="A8" i="3" s="1"/>
  <c r="A9" i="3" s="1"/>
  <c r="A10" i="3" s="1"/>
  <c r="A11" i="3" s="1"/>
  <c r="A12" i="3" s="1"/>
  <c r="A13" i="3" s="1"/>
  <c r="B4" i="3"/>
  <c r="C4" i="3"/>
  <c r="D4" i="3"/>
  <c r="E4" i="3"/>
  <c r="F4" i="3" s="1"/>
  <c r="B5" i="3"/>
  <c r="G3" i="3"/>
  <c r="F3" i="3"/>
  <c r="E3" i="3"/>
  <c r="D3" i="3"/>
  <c r="C3" i="3"/>
  <c r="B3" i="3"/>
  <c r="A3" i="3"/>
  <c r="G2" i="3"/>
  <c r="F2" i="3"/>
  <c r="E2" i="3"/>
  <c r="C2" i="3"/>
  <c r="A17" i="2"/>
  <c r="A18" i="2" s="1"/>
  <c r="A19" i="2" s="1"/>
  <c r="A20" i="2" s="1"/>
  <c r="A21" i="2" s="1"/>
  <c r="B17" i="2"/>
  <c r="E17" i="2" s="1"/>
  <c r="B18" i="2" s="1"/>
  <c r="C17" i="2"/>
  <c r="D17" i="2"/>
  <c r="A16" i="2"/>
  <c r="D15" i="2"/>
  <c r="C15" i="2"/>
  <c r="E15" i="2" s="1"/>
  <c r="B16" i="2" s="1"/>
  <c r="A4" i="2"/>
  <c r="A5" i="2" s="1"/>
  <c r="A6" i="2" s="1"/>
  <c r="A7" i="2" s="1"/>
  <c r="A8" i="2" s="1"/>
  <c r="A9" i="2" s="1"/>
  <c r="A10" i="2" s="1"/>
  <c r="B4" i="2"/>
  <c r="D4" i="2" s="1"/>
  <c r="C4" i="2"/>
  <c r="E3" i="2"/>
  <c r="D3" i="2"/>
  <c r="C3" i="2"/>
  <c r="B3" i="2"/>
  <c r="A3" i="2"/>
  <c r="E2" i="2"/>
  <c r="D2" i="2"/>
  <c r="C2" i="2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P2" i="1"/>
  <c r="O2" i="1"/>
  <c r="Q2" i="1" s="1"/>
  <c r="D2" i="1"/>
  <c r="F2" i="1" s="1"/>
  <c r="E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F27" i="3" l="1"/>
  <c r="B21" i="3"/>
  <c r="F20" i="3"/>
  <c r="F18" i="3"/>
  <c r="G18" i="3" s="1"/>
  <c r="D19" i="3"/>
  <c r="C19" i="3"/>
  <c r="D5" i="3"/>
  <c r="G4" i="3"/>
  <c r="C5" i="3"/>
  <c r="D18" i="2"/>
  <c r="C18" i="2"/>
  <c r="E18" i="2" s="1"/>
  <c r="B19" i="2" s="1"/>
  <c r="D16" i="2"/>
  <c r="C16" i="2"/>
  <c r="E16" i="2" s="1"/>
  <c r="E4" i="2"/>
  <c r="B5" i="2" s="1"/>
  <c r="N3" i="1"/>
  <c r="M3" i="1"/>
  <c r="B3" i="1"/>
  <c r="E3" i="1" s="1"/>
  <c r="C3" i="1"/>
  <c r="D3" i="1" s="1"/>
  <c r="F3" i="1" s="1"/>
  <c r="D28" i="3" l="1"/>
  <c r="G27" i="3"/>
  <c r="G20" i="3"/>
  <c r="D21" i="3"/>
  <c r="E19" i="3"/>
  <c r="F19" i="3" s="1"/>
  <c r="G19" i="3" s="1"/>
  <c r="E5" i="3"/>
  <c r="C6" i="3" s="1"/>
  <c r="B6" i="3"/>
  <c r="C19" i="2"/>
  <c r="D19" i="2"/>
  <c r="E19" i="2"/>
  <c r="B20" i="2" s="1"/>
  <c r="D5" i="2"/>
  <c r="E5" i="2"/>
  <c r="B6" i="2" s="1"/>
  <c r="C5" i="2"/>
  <c r="P3" i="1"/>
  <c r="O3" i="1"/>
  <c r="Q3" i="1" s="1"/>
  <c r="C4" i="1"/>
  <c r="B4" i="1"/>
  <c r="B29" i="3" l="1"/>
  <c r="E28" i="3"/>
  <c r="C29" i="3" s="1"/>
  <c r="B22" i="3"/>
  <c r="E21" i="3"/>
  <c r="C22" i="3" s="1"/>
  <c r="F5" i="3"/>
  <c r="C20" i="2"/>
  <c r="D20" i="2"/>
  <c r="E20" i="2"/>
  <c r="B21" i="2" s="1"/>
  <c r="C6" i="2"/>
  <c r="E6" i="2" s="1"/>
  <c r="B7" i="2" s="1"/>
  <c r="D6" i="2"/>
  <c r="N4" i="1"/>
  <c r="M4" i="1"/>
  <c r="D4" i="1"/>
  <c r="F4" i="1" s="1"/>
  <c r="E4" i="1"/>
  <c r="F28" i="3" l="1"/>
  <c r="F21" i="3"/>
  <c r="G5" i="3"/>
  <c r="D6" i="3"/>
  <c r="C21" i="2"/>
  <c r="E21" i="2" s="1"/>
  <c r="D21" i="2"/>
  <c r="C7" i="2"/>
  <c r="D7" i="2"/>
  <c r="E7" i="2"/>
  <c r="B8" i="2" s="1"/>
  <c r="P4" i="1"/>
  <c r="O4" i="1"/>
  <c r="Q4" i="1" s="1"/>
  <c r="B5" i="1"/>
  <c r="C5" i="1"/>
  <c r="D29" i="3" l="1"/>
  <c r="G28" i="3"/>
  <c r="G21" i="3"/>
  <c r="D22" i="3"/>
  <c r="B7" i="3"/>
  <c r="E6" i="3"/>
  <c r="C7" i="3" s="1"/>
  <c r="D8" i="2"/>
  <c r="C8" i="2"/>
  <c r="E8" i="2" s="1"/>
  <c r="B9" i="2" s="1"/>
  <c r="N5" i="1"/>
  <c r="M5" i="1"/>
  <c r="E5" i="1"/>
  <c r="D5" i="1"/>
  <c r="F5" i="1" s="1"/>
  <c r="E29" i="3" l="1"/>
  <c r="C30" i="3" s="1"/>
  <c r="B30" i="3"/>
  <c r="B23" i="3"/>
  <c r="E22" i="3"/>
  <c r="C23" i="3" s="1"/>
  <c r="F6" i="3"/>
  <c r="C9" i="2"/>
  <c r="E9" i="2" s="1"/>
  <c r="B10" i="2" s="1"/>
  <c r="D9" i="2"/>
  <c r="O5" i="1"/>
  <c r="Q5" i="1" s="1"/>
  <c r="P5" i="1"/>
  <c r="B6" i="1"/>
  <c r="C6" i="1"/>
  <c r="F29" i="3" l="1"/>
  <c r="F22" i="3"/>
  <c r="G6" i="3"/>
  <c r="D7" i="3"/>
  <c r="C10" i="2"/>
  <c r="E10" i="2" s="1"/>
  <c r="D10" i="2"/>
  <c r="N6" i="1"/>
  <c r="M6" i="1"/>
  <c r="E6" i="1"/>
  <c r="D6" i="1"/>
  <c r="F6" i="1" s="1"/>
  <c r="D30" i="3" l="1"/>
  <c r="G29" i="3"/>
  <c r="G22" i="3"/>
  <c r="D23" i="3"/>
  <c r="B8" i="3"/>
  <c r="E7" i="3"/>
  <c r="C8" i="3" s="1"/>
  <c r="P6" i="1"/>
  <c r="O6" i="1"/>
  <c r="Q6" i="1" s="1"/>
  <c r="C7" i="1"/>
  <c r="B7" i="1"/>
  <c r="E30" i="3" l="1"/>
  <c r="C31" i="3" s="1"/>
  <c r="B31" i="3"/>
  <c r="B24" i="3"/>
  <c r="E23" i="3"/>
  <c r="C24" i="3" s="1"/>
  <c r="F7" i="3"/>
  <c r="M7" i="1"/>
  <c r="N7" i="1"/>
  <c r="E7" i="1"/>
  <c r="D7" i="1"/>
  <c r="F7" i="1" s="1"/>
  <c r="F30" i="3" l="1"/>
  <c r="F23" i="3"/>
  <c r="G7" i="3"/>
  <c r="D8" i="3"/>
  <c r="P7" i="1"/>
  <c r="O7" i="1"/>
  <c r="Q7" i="1" s="1"/>
  <c r="C8" i="1"/>
  <c r="B8" i="1"/>
  <c r="D31" i="3" l="1"/>
  <c r="G30" i="3"/>
  <c r="D24" i="3"/>
  <c r="G23" i="3"/>
  <c r="B9" i="3"/>
  <c r="E8" i="3"/>
  <c r="C9" i="3" s="1"/>
  <c r="M8" i="1"/>
  <c r="N8" i="1"/>
  <c r="D8" i="1"/>
  <c r="F8" i="1" s="1"/>
  <c r="E8" i="1"/>
  <c r="E31" i="3" l="1"/>
  <c r="C32" i="3" s="1"/>
  <c r="B32" i="3"/>
  <c r="B25" i="3"/>
  <c r="E24" i="3"/>
  <c r="C25" i="3" s="1"/>
  <c r="F24" i="3"/>
  <c r="F8" i="3"/>
  <c r="O8" i="1"/>
  <c r="Q8" i="1" s="1"/>
  <c r="P8" i="1"/>
  <c r="B9" i="1"/>
  <c r="C9" i="1"/>
  <c r="F31" i="3" l="1"/>
  <c r="D25" i="3"/>
  <c r="G24" i="3"/>
  <c r="D9" i="3"/>
  <c r="G8" i="3"/>
  <c r="M9" i="1"/>
  <c r="N9" i="1"/>
  <c r="D9" i="1"/>
  <c r="F9" i="1" s="1"/>
  <c r="E9" i="1"/>
  <c r="G31" i="3" l="1"/>
  <c r="D32" i="3"/>
  <c r="E25" i="3"/>
  <c r="C26" i="3" s="1"/>
  <c r="B26" i="3"/>
  <c r="B10" i="3"/>
  <c r="E9" i="3"/>
  <c r="C10" i="3" s="1"/>
  <c r="O9" i="1"/>
  <c r="Q9" i="1" s="1"/>
  <c r="P9" i="1"/>
  <c r="C10" i="1"/>
  <c r="B10" i="1"/>
  <c r="F32" i="3" l="1"/>
  <c r="E32" i="3"/>
  <c r="C33" i="3" s="1"/>
  <c r="B33" i="3"/>
  <c r="F25" i="3"/>
  <c r="F9" i="3"/>
  <c r="M10" i="1"/>
  <c r="N10" i="1"/>
  <c r="E10" i="1"/>
  <c r="D10" i="1"/>
  <c r="F10" i="1" s="1"/>
  <c r="G32" i="3" l="1"/>
  <c r="D33" i="3"/>
  <c r="D26" i="3"/>
  <c r="G25" i="3"/>
  <c r="D10" i="3"/>
  <c r="G9" i="3"/>
  <c r="O10" i="1"/>
  <c r="Q10" i="1" s="1"/>
  <c r="P10" i="1"/>
  <c r="B11" i="1"/>
  <c r="C11" i="1"/>
  <c r="E33" i="3" l="1"/>
  <c r="C34" i="3" s="1"/>
  <c r="B34" i="3"/>
  <c r="E26" i="3"/>
  <c r="F26" i="3" s="1"/>
  <c r="G26" i="3" s="1"/>
  <c r="E10" i="3"/>
  <c r="C11" i="3" s="1"/>
  <c r="B11" i="3"/>
  <c r="M11" i="1"/>
  <c r="N11" i="1"/>
  <c r="D11" i="1"/>
  <c r="F11" i="1" s="1"/>
  <c r="E11" i="1"/>
  <c r="F33" i="3" l="1"/>
  <c r="F10" i="3"/>
  <c r="O11" i="1"/>
  <c r="Q11" i="1" s="1"/>
  <c r="P11" i="1"/>
  <c r="C12" i="1"/>
  <c r="B12" i="1"/>
  <c r="G33" i="3" l="1"/>
  <c r="D34" i="3"/>
  <c r="D11" i="3"/>
  <c r="G10" i="3"/>
  <c r="M12" i="1"/>
  <c r="N12" i="1"/>
  <c r="D12" i="1"/>
  <c r="F12" i="1" s="1"/>
  <c r="E12" i="1"/>
  <c r="E34" i="3" l="1"/>
  <c r="F34" i="3" s="1"/>
  <c r="G34" i="3" s="1"/>
  <c r="E11" i="3"/>
  <c r="C12" i="3" s="1"/>
  <c r="B12" i="3"/>
  <c r="O12" i="1"/>
  <c r="Q12" i="1" s="1"/>
  <c r="P12" i="1"/>
  <c r="C13" i="1"/>
  <c r="B13" i="1"/>
  <c r="F11" i="3" l="1"/>
  <c r="M13" i="1"/>
  <c r="N13" i="1"/>
  <c r="D13" i="1"/>
  <c r="F13" i="1" s="1"/>
  <c r="E13" i="1"/>
  <c r="D12" i="3" l="1"/>
  <c r="G11" i="3"/>
  <c r="P13" i="1"/>
  <c r="O13" i="1"/>
  <c r="Q13" i="1" s="1"/>
  <c r="C14" i="1"/>
  <c r="B14" i="1"/>
  <c r="E12" i="3" l="1"/>
  <c r="C13" i="3" s="1"/>
  <c r="B13" i="3"/>
  <c r="M14" i="1"/>
  <c r="N14" i="1"/>
  <c r="E14" i="1"/>
  <c r="D14" i="1"/>
  <c r="F14" i="1" s="1"/>
  <c r="F12" i="3" l="1"/>
  <c r="O14" i="1"/>
  <c r="Q14" i="1" s="1"/>
  <c r="P14" i="1"/>
  <c r="C15" i="1"/>
  <c r="B15" i="1"/>
  <c r="D13" i="3" l="1"/>
  <c r="G12" i="3"/>
  <c r="M15" i="1"/>
  <c r="N15" i="1"/>
  <c r="D15" i="1"/>
  <c r="F15" i="1" s="1"/>
  <c r="E15" i="1"/>
  <c r="E13" i="3" l="1"/>
  <c r="F13" i="3" s="1"/>
  <c r="G13" i="3" s="1"/>
  <c r="O15" i="1"/>
  <c r="Q15" i="1" s="1"/>
  <c r="P15" i="1"/>
  <c r="C16" i="1"/>
  <c r="B16" i="1"/>
  <c r="M16" i="1" l="1"/>
  <c r="N16" i="1"/>
  <c r="D16" i="1"/>
  <c r="F16" i="1" s="1"/>
  <c r="E16" i="1"/>
  <c r="O16" i="1" l="1"/>
  <c r="Q16" i="1" s="1"/>
  <c r="P16" i="1"/>
  <c r="C17" i="1"/>
  <c r="B17" i="1"/>
  <c r="M17" i="1" l="1"/>
  <c r="N17" i="1"/>
  <c r="E17" i="1"/>
  <c r="D17" i="1"/>
  <c r="F17" i="1" s="1"/>
  <c r="O17" i="1" l="1"/>
  <c r="Q17" i="1" s="1"/>
  <c r="P17" i="1"/>
  <c r="C18" i="1"/>
  <c r="B18" i="1"/>
  <c r="N18" i="1" l="1"/>
  <c r="M18" i="1"/>
  <c r="E18" i="1"/>
  <c r="D18" i="1"/>
  <c r="F18" i="1" s="1"/>
  <c r="P18" i="1" l="1"/>
  <c r="O18" i="1"/>
  <c r="Q18" i="1" s="1"/>
  <c r="B19" i="1"/>
  <c r="C19" i="1"/>
  <c r="M19" i="1" l="1"/>
  <c r="N19" i="1"/>
  <c r="D19" i="1"/>
  <c r="F19" i="1" s="1"/>
  <c r="E19" i="1"/>
  <c r="O19" i="1" l="1"/>
  <c r="Q19" i="1" s="1"/>
  <c r="P19" i="1"/>
  <c r="C20" i="1"/>
  <c r="B20" i="1"/>
  <c r="N20" i="1" l="1"/>
  <c r="M20" i="1"/>
  <c r="D20" i="1"/>
  <c r="F20" i="1" s="1"/>
  <c r="E20" i="1"/>
  <c r="O20" i="1" l="1"/>
  <c r="Q20" i="1" s="1"/>
  <c r="P20" i="1"/>
  <c r="C21" i="1"/>
  <c r="B21" i="1"/>
  <c r="N21" i="1" l="1"/>
  <c r="M21" i="1"/>
  <c r="D21" i="1"/>
  <c r="F21" i="1" s="1"/>
  <c r="E21" i="1"/>
  <c r="O21" i="1" l="1"/>
  <c r="Q21" i="1" s="1"/>
  <c r="P21" i="1"/>
  <c r="B22" i="1"/>
  <c r="C22" i="1"/>
  <c r="M22" i="1" l="1"/>
  <c r="N22" i="1"/>
  <c r="E22" i="1"/>
  <c r="D22" i="1"/>
  <c r="F22" i="1" s="1"/>
  <c r="O22" i="1" l="1"/>
  <c r="Q22" i="1" s="1"/>
  <c r="P22" i="1"/>
  <c r="B23" i="1"/>
  <c r="C23" i="1"/>
  <c r="N23" i="1" l="1"/>
  <c r="M23" i="1"/>
  <c r="E23" i="1"/>
  <c r="D23" i="1"/>
  <c r="F23" i="1" s="1"/>
  <c r="B24" i="1" l="1"/>
  <c r="C24" i="1"/>
  <c r="O23" i="1"/>
  <c r="Q23" i="1" s="1"/>
  <c r="P23" i="1"/>
  <c r="N24" i="1" l="1"/>
  <c r="M24" i="1"/>
  <c r="D24" i="1"/>
  <c r="F24" i="1" s="1"/>
  <c r="E24" i="1"/>
  <c r="C25" i="1" l="1"/>
  <c r="B25" i="1"/>
  <c r="O24" i="1"/>
  <c r="Q24" i="1" s="1"/>
  <c r="P24" i="1"/>
  <c r="N25" i="1" l="1"/>
  <c r="M25" i="1"/>
  <c r="D25" i="1"/>
  <c r="F25" i="1" s="1"/>
  <c r="E25" i="1"/>
  <c r="B26" i="1" l="1"/>
  <c r="C26" i="1"/>
  <c r="O25" i="1"/>
  <c r="Q25" i="1" s="1"/>
  <c r="P25" i="1"/>
  <c r="M26" i="1" l="1"/>
  <c r="N26" i="1"/>
  <c r="D26" i="1"/>
  <c r="F26" i="1" s="1"/>
  <c r="E26" i="1"/>
  <c r="B27" i="1" l="1"/>
  <c r="C27" i="1"/>
  <c r="P26" i="1"/>
  <c r="O26" i="1"/>
  <c r="Q26" i="1" s="1"/>
  <c r="M27" i="1" l="1"/>
  <c r="N27" i="1"/>
  <c r="D27" i="1"/>
  <c r="F27" i="1" s="1"/>
  <c r="E27" i="1"/>
  <c r="P27" i="1" l="1"/>
  <c r="O27" i="1"/>
  <c r="Q27" i="1" s="1"/>
  <c r="C28" i="1"/>
  <c r="B28" i="1"/>
  <c r="D28" i="1" l="1"/>
  <c r="F28" i="1" s="1"/>
  <c r="E28" i="1"/>
  <c r="N28" i="1"/>
  <c r="M28" i="1"/>
  <c r="P28" i="1" l="1"/>
  <c r="O28" i="1"/>
  <c r="Q28" i="1" s="1"/>
  <c r="C29" i="1"/>
  <c r="B29" i="1"/>
  <c r="N29" i="1" l="1"/>
  <c r="M29" i="1"/>
  <c r="D29" i="1"/>
  <c r="F29" i="1" s="1"/>
  <c r="E29" i="1"/>
  <c r="C30" i="1" l="1"/>
  <c r="B30" i="1"/>
  <c r="O29" i="1"/>
  <c r="Q29" i="1" s="1"/>
  <c r="P29" i="1"/>
  <c r="E30" i="1" l="1"/>
  <c r="D30" i="1"/>
  <c r="F30" i="1" s="1"/>
  <c r="N30" i="1"/>
  <c r="M30" i="1"/>
  <c r="P30" i="1" l="1"/>
  <c r="O30" i="1"/>
  <c r="Q30" i="1" s="1"/>
  <c r="B31" i="1"/>
  <c r="C31" i="1"/>
  <c r="D31" i="1" l="1"/>
  <c r="F31" i="1" s="1"/>
  <c r="E31" i="1"/>
  <c r="N31" i="1"/>
  <c r="M31" i="1"/>
  <c r="O31" i="1" l="1"/>
  <c r="Q31" i="1" s="1"/>
  <c r="P31" i="1"/>
  <c r="B32" i="1"/>
  <c r="C32" i="1"/>
  <c r="E32" i="1" l="1"/>
  <c r="D32" i="1"/>
  <c r="F32" i="1" s="1"/>
  <c r="M32" i="1"/>
  <c r="N32" i="1"/>
  <c r="O32" i="1" l="1"/>
  <c r="Q32" i="1" s="1"/>
  <c r="P32" i="1"/>
  <c r="C33" i="1"/>
  <c r="B33" i="1"/>
  <c r="D33" i="1" l="1"/>
  <c r="F33" i="1" s="1"/>
  <c r="E33" i="1"/>
  <c r="M33" i="1"/>
  <c r="N33" i="1"/>
  <c r="P33" i="1" l="1"/>
  <c r="O33" i="1"/>
  <c r="Q33" i="1" s="1"/>
  <c r="B34" i="1"/>
  <c r="C34" i="1"/>
  <c r="D34" i="1" l="1"/>
  <c r="F34" i="1" s="1"/>
  <c r="E34" i="1"/>
  <c r="N34" i="1"/>
  <c r="M34" i="1"/>
  <c r="P34" i="1" l="1"/>
  <c r="O34" i="1"/>
  <c r="Q34" i="1" s="1"/>
  <c r="C35" i="1"/>
  <c r="B35" i="1"/>
  <c r="E35" i="1" l="1"/>
  <c r="D35" i="1"/>
  <c r="F35" i="1" s="1"/>
  <c r="M35" i="1"/>
  <c r="N35" i="1"/>
  <c r="P35" i="1" l="1"/>
  <c r="O35" i="1"/>
  <c r="Q35" i="1" s="1"/>
</calcChain>
</file>

<file path=xl/sharedStrings.xml><?xml version="1.0" encoding="utf-8"?>
<sst xmlns="http://schemas.openxmlformats.org/spreadsheetml/2006/main" count="40" uniqueCount="20">
  <si>
    <t>Iteración</t>
  </si>
  <si>
    <t>a</t>
  </si>
  <si>
    <t>b</t>
  </si>
  <si>
    <t>f(a)</t>
  </si>
  <si>
    <t>f©</t>
  </si>
  <si>
    <t>c (PuntoMedio)</t>
  </si>
  <si>
    <t>PRECISION CON 4 DECIMALES</t>
  </si>
  <si>
    <t>MAXIMA CONVERGENCIA</t>
  </si>
  <si>
    <t>x1</t>
  </si>
  <si>
    <t>x2</t>
  </si>
  <si>
    <t>ITERACION</t>
  </si>
  <si>
    <t>X_k</t>
  </si>
  <si>
    <t>f(x_k)</t>
  </si>
  <si>
    <t>f'(x_k)</t>
  </si>
  <si>
    <t>x_k+1 (Nuevo x)</t>
  </si>
  <si>
    <t>Error Absoluto</t>
  </si>
  <si>
    <t>x_k-1</t>
  </si>
  <si>
    <t>f(x_k-1)</t>
  </si>
  <si>
    <t>x_k</t>
  </si>
  <si>
    <t>x_{k+1 (Nuevo 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</si>
</sst>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3" borderId="0" xfId="0" applyFill="1"/>
    <xf numFmtId="0" fontId="0" fillId="4" borderId="1" xfId="0" applyFill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634680446194225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7.1792149913147224E-2"/>
          <c:y val="8.9509446583490748E-2"/>
          <c:w val="0.89566701173828367"/>
          <c:h val="0.8261641944193056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EJERCICIO1_BISECCION!$C$2:$C$35</c:f>
              <c:numCache>
                <c:formatCode>General</c:formatCode>
                <c:ptCount val="34"/>
                <c:pt idx="0">
                  <c:v>4</c:v>
                </c:pt>
                <c:pt idx="1">
                  <c:v>3.5</c:v>
                </c:pt>
                <c:pt idx="2">
                  <c:v>3.25</c:v>
                </c:pt>
                <c:pt idx="3">
                  <c:v>3.25</c:v>
                </c:pt>
                <c:pt idx="4">
                  <c:v>3.25</c:v>
                </c:pt>
                <c:pt idx="5">
                  <c:v>3.21875</c:v>
                </c:pt>
                <c:pt idx="6">
                  <c:v>3.21875</c:v>
                </c:pt>
                <c:pt idx="7">
                  <c:v>3.2109375</c:v>
                </c:pt>
                <c:pt idx="8">
                  <c:v>3.2109375</c:v>
                </c:pt>
                <c:pt idx="9">
                  <c:v>3.208984375</c:v>
                </c:pt>
                <c:pt idx="10">
                  <c:v>3.208984375</c:v>
                </c:pt>
                <c:pt idx="11">
                  <c:v>3.20849609375</c:v>
                </c:pt>
                <c:pt idx="12">
                  <c:v>3.208251953125</c:v>
                </c:pt>
                <c:pt idx="13">
                  <c:v>3.208251953125</c:v>
                </c:pt>
                <c:pt idx="14">
                  <c:v>3.208251953125</c:v>
                </c:pt>
                <c:pt idx="15">
                  <c:v>3.208221435546875</c:v>
                </c:pt>
                <c:pt idx="16">
                  <c:v>3.208221435546875</c:v>
                </c:pt>
                <c:pt idx="17">
                  <c:v>3.208221435546875</c:v>
                </c:pt>
                <c:pt idx="18">
                  <c:v>3.208221435546875</c:v>
                </c:pt>
                <c:pt idx="19">
                  <c:v>3.208221435546875</c:v>
                </c:pt>
                <c:pt idx="20">
                  <c:v>3.2082204818725586</c:v>
                </c:pt>
                <c:pt idx="21">
                  <c:v>3.2082200050354004</c:v>
                </c:pt>
                <c:pt idx="22">
                  <c:v>3.2082200050354004</c:v>
                </c:pt>
                <c:pt idx="23">
                  <c:v>3.2082198858261108</c:v>
                </c:pt>
                <c:pt idx="24">
                  <c:v>3.2082198262214661</c:v>
                </c:pt>
                <c:pt idx="25">
                  <c:v>3.2082198262214661</c:v>
                </c:pt>
                <c:pt idx="26">
                  <c:v>3.2082198113203049</c:v>
                </c:pt>
                <c:pt idx="27">
                  <c:v>3.2082198038697243</c:v>
                </c:pt>
                <c:pt idx="28">
                  <c:v>3.2082198038697243</c:v>
                </c:pt>
                <c:pt idx="29">
                  <c:v>3.2082198038697243</c:v>
                </c:pt>
                <c:pt idx="30">
                  <c:v>3.2082198029384017</c:v>
                </c:pt>
                <c:pt idx="31">
                  <c:v>3.2082198024727404</c:v>
                </c:pt>
                <c:pt idx="32">
                  <c:v>3.2082198022399098</c:v>
                </c:pt>
                <c:pt idx="33">
                  <c:v>3.2082198021234944</c:v>
                </c:pt>
              </c:numCache>
            </c:numRef>
          </c:xVal>
          <c:yVal>
            <c:numRef>
              <c:f>EJERCICIO1_BISECCION!$D$2:$D$35</c:f>
              <c:numCache>
                <c:formatCode>General</c:formatCode>
                <c:ptCount val="34"/>
                <c:pt idx="0">
                  <c:v>3.5</c:v>
                </c:pt>
                <c:pt idx="1">
                  <c:v>3.25</c:v>
                </c:pt>
                <c:pt idx="2">
                  <c:v>3.125</c:v>
                </c:pt>
                <c:pt idx="3">
                  <c:v>3.1875</c:v>
                </c:pt>
                <c:pt idx="4">
                  <c:v>3.21875</c:v>
                </c:pt>
                <c:pt idx="5">
                  <c:v>3.203125</c:v>
                </c:pt>
                <c:pt idx="6">
                  <c:v>3.2109375</c:v>
                </c:pt>
                <c:pt idx="7">
                  <c:v>3.20703125</c:v>
                </c:pt>
                <c:pt idx="8">
                  <c:v>3.208984375</c:v>
                </c:pt>
                <c:pt idx="9">
                  <c:v>3.2080078125</c:v>
                </c:pt>
                <c:pt idx="10">
                  <c:v>3.20849609375</c:v>
                </c:pt>
                <c:pt idx="11">
                  <c:v>3.208251953125</c:v>
                </c:pt>
                <c:pt idx="12">
                  <c:v>3.2081298828125</c:v>
                </c:pt>
                <c:pt idx="13">
                  <c:v>3.20819091796875</c:v>
                </c:pt>
                <c:pt idx="14">
                  <c:v>3.208221435546875</c:v>
                </c:pt>
                <c:pt idx="15">
                  <c:v>3.2082061767578125</c:v>
                </c:pt>
                <c:pt idx="16">
                  <c:v>3.2082138061523438</c:v>
                </c:pt>
                <c:pt idx="17">
                  <c:v>3.2082176208496094</c:v>
                </c:pt>
                <c:pt idx="18">
                  <c:v>3.2082195281982422</c:v>
                </c:pt>
                <c:pt idx="19">
                  <c:v>3.2082204818725586</c:v>
                </c:pt>
                <c:pt idx="20">
                  <c:v>3.2082200050354004</c:v>
                </c:pt>
                <c:pt idx="21">
                  <c:v>3.2082197666168213</c:v>
                </c:pt>
                <c:pt idx="22">
                  <c:v>3.2082198858261108</c:v>
                </c:pt>
                <c:pt idx="23">
                  <c:v>3.2082198262214661</c:v>
                </c:pt>
                <c:pt idx="24">
                  <c:v>3.2082197964191437</c:v>
                </c:pt>
                <c:pt idx="25">
                  <c:v>3.2082198113203049</c:v>
                </c:pt>
                <c:pt idx="26">
                  <c:v>3.2082198038697243</c:v>
                </c:pt>
                <c:pt idx="27">
                  <c:v>3.208219800144434</c:v>
                </c:pt>
                <c:pt idx="28">
                  <c:v>3.2082198020070791</c:v>
                </c:pt>
                <c:pt idx="29">
                  <c:v>3.2082198029384017</c:v>
                </c:pt>
                <c:pt idx="30">
                  <c:v>3.2082198024727404</c:v>
                </c:pt>
                <c:pt idx="31">
                  <c:v>3.2082198022399098</c:v>
                </c:pt>
                <c:pt idx="32">
                  <c:v>3.2082198021234944</c:v>
                </c:pt>
                <c:pt idx="33">
                  <c:v>3.2082198020652868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0B-483A-9FCE-A4B2C527544E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899956880"/>
        <c:axId val="1899954480"/>
      </c:scatterChart>
      <c:valAx>
        <c:axId val="189995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899954480"/>
        <c:crosses val="autoZero"/>
        <c:crossBetween val="midCat"/>
      </c:valAx>
      <c:valAx>
        <c:axId val="189995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899956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19051</xdr:colOff>
      <xdr:row>0</xdr:row>
      <xdr:rowOff>153482</xdr:rowOff>
    </xdr:from>
    <xdr:to>
      <xdr:col>10</xdr:col>
      <xdr:colOff>704850</xdr:colOff>
      <xdr:row>4</xdr:row>
      <xdr:rowOff>52336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BCA505-3572-3FF8-4915-067DC007F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9216" y="153482"/>
          <a:ext cx="3742172" cy="652480"/>
        </a:xfrm>
        <a:prstGeom prst="rect">
          <a:avLst/>
        </a:prstGeom>
      </xdr:spPr>
    </xdr:pic>
    <xdr:clientData/>
  </xdr:twoCellAnchor>
  <xdr:twoCellAnchor>
    <xdr:from>
      <xdr:col>5</xdr:col>
      <xdr:colOff>740858</xdr:colOff>
      <xdr:row>5</xdr:row>
      <xdr:rowOff>95670</xdr:rowOff>
    </xdr:from>
    <xdr:to>
      <xdr:col>11</xdr:col>
      <xdr:colOff>371475</xdr:colOff>
      <xdr:row>18</xdr:row>
      <xdr:rowOff>123826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F8DFA3A-56C5-04AC-739B-C23FED5EB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1F2A1-E1DC-4FCD-A8B9-0261520CA6DE}">
  <dimension ref="A1:Q39"/>
  <sheetViews>
    <sheetView topLeftCell="B28" zoomScaleNormal="100" workbookViewId="0">
      <selection activeCell="C39" sqref="C39"/>
    </sheetView>
  </sheetViews>
  <sheetFormatPr baseColWidth="10" defaultRowHeight="15" x14ac:dyDescent="0.25"/>
  <cols>
    <col min="2" max="3" width="11.85546875" bestFit="1" customWidth="1"/>
    <col min="4" max="4" width="13.5703125" customWidth="1"/>
    <col min="5" max="5" width="10.42578125" customWidth="1"/>
    <col min="15" max="15" width="12.285156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L1" s="4" t="s">
        <v>0</v>
      </c>
      <c r="M1" s="4" t="s">
        <v>1</v>
      </c>
      <c r="N1" s="4" t="s">
        <v>2</v>
      </c>
      <c r="O1" s="4" t="s">
        <v>5</v>
      </c>
      <c r="P1" s="4" t="s">
        <v>3</v>
      </c>
      <c r="Q1" s="4" t="s">
        <v>4</v>
      </c>
    </row>
    <row r="2" spans="1:17" x14ac:dyDescent="0.25">
      <c r="A2">
        <v>0</v>
      </c>
      <c r="B2">
        <v>3</v>
      </c>
      <c r="C2">
        <v>4</v>
      </c>
      <c r="D2">
        <f>+(B2+C2)/2</f>
        <v>3.5</v>
      </c>
      <c r="E2" s="2">
        <f xml:space="preserve"> B2^3 - EXP(0.8*B2) - 20</f>
        <v>-4.0231763806416048</v>
      </c>
      <c r="F2">
        <f>+D2^3 - EXP(0.8*D2) - 20</f>
        <v>6.4303532289029448</v>
      </c>
      <c r="L2">
        <v>0</v>
      </c>
      <c r="M2">
        <v>7</v>
      </c>
      <c r="N2">
        <v>8</v>
      </c>
      <c r="O2">
        <f>+(M2+N2)/2</f>
        <v>7.5</v>
      </c>
      <c r="P2" s="2">
        <f xml:space="preserve"> M2^3 - EXP(0.8*M2) - 20</f>
        <v>52.573592573847236</v>
      </c>
      <c r="Q2">
        <f>+O2^3 - EXP(0.8*O2) - 20</f>
        <v>-1.5537934927351102</v>
      </c>
    </row>
    <row r="3" spans="1:17" x14ac:dyDescent="0.25">
      <c r="A3">
        <f>+A2+1</f>
        <v>1</v>
      </c>
      <c r="B3">
        <f>+IF(E2*F2 &lt; 0,B2,D2)</f>
        <v>3</v>
      </c>
      <c r="C3">
        <f>+IF(E2*F2 &lt; 0,D2,C2)</f>
        <v>3.5</v>
      </c>
      <c r="D3">
        <f>+(B3+C3)/2</f>
        <v>3.25</v>
      </c>
      <c r="E3" s="2">
        <f>+B3^3 - EXP(0.8 * B3) - 20</f>
        <v>-4.0231763806416048</v>
      </c>
      <c r="F3">
        <f>+D3^3 - EXP(0.8*D3) - 20</f>
        <v>0.86438696499831025</v>
      </c>
      <c r="L3">
        <f>+L2+1</f>
        <v>1</v>
      </c>
      <c r="M3">
        <f>+IF(P2*Q2 &lt; 0,M2,O2)</f>
        <v>7</v>
      </c>
      <c r="N3">
        <f>+IF(P2*Q2 &lt; 0,O2,N2)</f>
        <v>7.5</v>
      </c>
      <c r="O3">
        <f>+(M3+N3)/2</f>
        <v>7.25</v>
      </c>
      <c r="P3" s="2">
        <f>+M3^3 - EXP(0.8 * M3) - 20</f>
        <v>52.573592573847236</v>
      </c>
      <c r="Q3">
        <f>+O3^3 - EXP(0.8*O3) - 20</f>
        <v>30.778565090351094</v>
      </c>
    </row>
    <row r="4" spans="1:17" x14ac:dyDescent="0.25">
      <c r="A4">
        <f t="shared" ref="A4:A23" si="0">+A3+1</f>
        <v>2</v>
      </c>
      <c r="B4">
        <f t="shared" ref="B4:B23" si="1">+IF(E3*F3 &lt; 0,B3,D3)</f>
        <v>3</v>
      </c>
      <c r="C4">
        <f t="shared" ref="C4:C23" si="2">+IF(E3*F3 &lt; 0,D3,C3)</f>
        <v>3.25</v>
      </c>
      <c r="D4">
        <f t="shared" ref="D4:D23" si="3">+(B4+C4)/2</f>
        <v>3.125</v>
      </c>
      <c r="E4" s="2">
        <f t="shared" ref="E4:E23" si="4">+B4^3 - EXP(0.8 * B4) - 20</f>
        <v>-4.0231763806416048</v>
      </c>
      <c r="F4">
        <f t="shared" ref="F4:F23" si="5">+D4^3 - EXP(0.8*D4) - 20</f>
        <v>-1.664915835703475</v>
      </c>
      <c r="L4">
        <f t="shared" ref="L4:L35" si="6">+L3+1</f>
        <v>2</v>
      </c>
      <c r="M4">
        <f t="shared" ref="M4:M35" si="7">+IF(P3*Q3 &lt; 0,M3,O3)</f>
        <v>7.25</v>
      </c>
      <c r="N4">
        <f t="shared" ref="N4:N35" si="8">+IF(P3*Q3 &lt; 0,O3,N3)</f>
        <v>7.5</v>
      </c>
      <c r="O4">
        <f t="shared" ref="O4:O35" si="9">+(M4+N4)/2</f>
        <v>7.375</v>
      </c>
      <c r="P4" s="2">
        <f t="shared" ref="P4:P35" si="10">+M4^3 - EXP(0.8 * M4) - 20</f>
        <v>30.778565090351094</v>
      </c>
      <c r="Q4">
        <f t="shared" ref="Q4:Q35" si="11">+O4^3 - EXP(0.8*O4) - 20</f>
        <v>16.093391509671108</v>
      </c>
    </row>
    <row r="5" spans="1:17" x14ac:dyDescent="0.25">
      <c r="A5">
        <f t="shared" si="0"/>
        <v>3</v>
      </c>
      <c r="B5">
        <f t="shared" si="1"/>
        <v>3.125</v>
      </c>
      <c r="C5">
        <f t="shared" si="2"/>
        <v>3.25</v>
      </c>
      <c r="D5">
        <f t="shared" si="3"/>
        <v>3.1875</v>
      </c>
      <c r="E5" s="2">
        <f t="shared" si="4"/>
        <v>-1.664915835703475</v>
      </c>
      <c r="F5">
        <f t="shared" si="5"/>
        <v>-0.42160573578803451</v>
      </c>
      <c r="L5">
        <f t="shared" si="6"/>
        <v>3</v>
      </c>
      <c r="M5">
        <f t="shared" si="7"/>
        <v>7.375</v>
      </c>
      <c r="N5">
        <f t="shared" si="8"/>
        <v>7.5</v>
      </c>
      <c r="O5">
        <f t="shared" si="9"/>
        <v>7.4375</v>
      </c>
      <c r="P5" s="2">
        <f t="shared" si="10"/>
        <v>16.093391509671108</v>
      </c>
      <c r="Q5">
        <f t="shared" si="11"/>
        <v>7.6624324232631125</v>
      </c>
    </row>
    <row r="6" spans="1:17" x14ac:dyDescent="0.25">
      <c r="A6">
        <f t="shared" si="0"/>
        <v>4</v>
      </c>
      <c r="B6">
        <f t="shared" si="1"/>
        <v>3.1875</v>
      </c>
      <c r="C6">
        <f t="shared" si="2"/>
        <v>3.25</v>
      </c>
      <c r="D6">
        <f t="shared" si="3"/>
        <v>3.21875</v>
      </c>
      <c r="E6" s="2">
        <f t="shared" si="4"/>
        <v>-0.42160573578803451</v>
      </c>
      <c r="F6">
        <f t="shared" si="5"/>
        <v>0.21606443330685821</v>
      </c>
      <c r="L6">
        <f t="shared" si="6"/>
        <v>4</v>
      </c>
      <c r="M6">
        <f t="shared" si="7"/>
        <v>7.4375</v>
      </c>
      <c r="N6">
        <f t="shared" si="8"/>
        <v>7.5</v>
      </c>
      <c r="O6">
        <f t="shared" si="9"/>
        <v>7.46875</v>
      </c>
      <c r="P6" s="2">
        <f t="shared" si="10"/>
        <v>7.6624324232631125</v>
      </c>
      <c r="Q6">
        <f t="shared" si="11"/>
        <v>3.1554035475757587</v>
      </c>
    </row>
    <row r="7" spans="1:17" x14ac:dyDescent="0.25">
      <c r="A7">
        <f t="shared" si="0"/>
        <v>5</v>
      </c>
      <c r="B7">
        <f t="shared" si="1"/>
        <v>3.1875</v>
      </c>
      <c r="C7">
        <f t="shared" si="2"/>
        <v>3.21875</v>
      </c>
      <c r="D7">
        <f t="shared" si="3"/>
        <v>3.203125</v>
      </c>
      <c r="E7" s="2">
        <f t="shared" si="4"/>
        <v>-0.42160573578803451</v>
      </c>
      <c r="F7">
        <f t="shared" si="5"/>
        <v>-0.10410353645155368</v>
      </c>
      <c r="L7">
        <f t="shared" si="6"/>
        <v>5</v>
      </c>
      <c r="M7">
        <f t="shared" si="7"/>
        <v>7.46875</v>
      </c>
      <c r="N7">
        <f t="shared" si="8"/>
        <v>7.5</v>
      </c>
      <c r="O7">
        <f t="shared" si="9"/>
        <v>7.484375</v>
      </c>
      <c r="P7" s="2">
        <f t="shared" si="10"/>
        <v>3.1554035475757587</v>
      </c>
      <c r="Q7">
        <f t="shared" si="11"/>
        <v>0.8264500659092846</v>
      </c>
    </row>
    <row r="8" spans="1:17" x14ac:dyDescent="0.25">
      <c r="A8">
        <f t="shared" si="0"/>
        <v>6</v>
      </c>
      <c r="B8">
        <f t="shared" si="1"/>
        <v>3.203125</v>
      </c>
      <c r="C8">
        <f t="shared" si="2"/>
        <v>3.21875</v>
      </c>
      <c r="D8">
        <f t="shared" si="3"/>
        <v>3.2109375</v>
      </c>
      <c r="E8" s="2">
        <f t="shared" si="4"/>
        <v>-0.10410353645155368</v>
      </c>
      <c r="F8">
        <f t="shared" si="5"/>
        <v>5.5647382134296208E-2</v>
      </c>
      <c r="L8">
        <f t="shared" si="6"/>
        <v>6</v>
      </c>
      <c r="M8">
        <f t="shared" si="7"/>
        <v>7.484375</v>
      </c>
      <c r="N8">
        <f t="shared" si="8"/>
        <v>7.5</v>
      </c>
      <c r="O8">
        <f t="shared" si="9"/>
        <v>7.4921875</v>
      </c>
      <c r="P8" s="2">
        <f t="shared" si="10"/>
        <v>0.8264500659092846</v>
      </c>
      <c r="Q8">
        <f t="shared" si="11"/>
        <v>-0.35721317290773413</v>
      </c>
    </row>
    <row r="9" spans="1:17" x14ac:dyDescent="0.25">
      <c r="A9">
        <f t="shared" si="0"/>
        <v>7</v>
      </c>
      <c r="B9">
        <f t="shared" si="1"/>
        <v>3.203125</v>
      </c>
      <c r="C9">
        <f t="shared" si="2"/>
        <v>3.2109375</v>
      </c>
      <c r="D9">
        <f t="shared" si="3"/>
        <v>3.20703125</v>
      </c>
      <c r="E9" s="2">
        <f t="shared" si="4"/>
        <v>-0.10410353645155368</v>
      </c>
      <c r="F9">
        <f t="shared" si="5"/>
        <v>-2.4311363882567605E-2</v>
      </c>
      <c r="L9">
        <f t="shared" si="6"/>
        <v>7</v>
      </c>
      <c r="M9">
        <f t="shared" si="7"/>
        <v>7.484375</v>
      </c>
      <c r="N9">
        <f t="shared" si="8"/>
        <v>7.4921875</v>
      </c>
      <c r="O9">
        <f t="shared" si="9"/>
        <v>7.48828125</v>
      </c>
      <c r="P9" s="2">
        <f t="shared" si="10"/>
        <v>0.8264500659092846</v>
      </c>
      <c r="Q9">
        <f t="shared" si="11"/>
        <v>0.23622714772449172</v>
      </c>
    </row>
    <row r="10" spans="1:17" x14ac:dyDescent="0.25">
      <c r="A10">
        <f t="shared" si="0"/>
        <v>8</v>
      </c>
      <c r="B10">
        <f t="shared" si="1"/>
        <v>3.20703125</v>
      </c>
      <c r="C10">
        <f t="shared" si="2"/>
        <v>3.2109375</v>
      </c>
      <c r="D10">
        <f t="shared" si="3"/>
        <v>3.208984375</v>
      </c>
      <c r="E10" s="2">
        <f t="shared" si="4"/>
        <v>-2.4311363882567605E-2</v>
      </c>
      <c r="F10">
        <f t="shared" si="5"/>
        <v>1.5647189915139137E-2</v>
      </c>
      <c r="L10">
        <f t="shared" si="6"/>
        <v>8</v>
      </c>
      <c r="M10">
        <f t="shared" si="7"/>
        <v>7.48828125</v>
      </c>
      <c r="N10">
        <f t="shared" si="8"/>
        <v>7.4921875</v>
      </c>
      <c r="O10">
        <f t="shared" si="9"/>
        <v>7.490234375</v>
      </c>
      <c r="P10" s="2">
        <f t="shared" si="10"/>
        <v>0.23622714772449172</v>
      </c>
      <c r="Q10">
        <f t="shared" si="11"/>
        <v>-6.0090097039847024E-2</v>
      </c>
    </row>
    <row r="11" spans="1:17" x14ac:dyDescent="0.25">
      <c r="A11">
        <f t="shared" si="0"/>
        <v>9</v>
      </c>
      <c r="B11">
        <f t="shared" si="1"/>
        <v>3.20703125</v>
      </c>
      <c r="C11">
        <f t="shared" si="2"/>
        <v>3.208984375</v>
      </c>
      <c r="D11">
        <f t="shared" si="3"/>
        <v>3.2080078125</v>
      </c>
      <c r="E11" s="2">
        <f t="shared" si="4"/>
        <v>-2.4311363882567605E-2</v>
      </c>
      <c r="F11">
        <f t="shared" si="5"/>
        <v>-4.3372920982065466E-3</v>
      </c>
      <c r="L11">
        <f t="shared" si="6"/>
        <v>9</v>
      </c>
      <c r="M11">
        <f t="shared" si="7"/>
        <v>7.48828125</v>
      </c>
      <c r="N11">
        <f t="shared" si="8"/>
        <v>7.490234375</v>
      </c>
      <c r="O11">
        <f t="shared" si="9"/>
        <v>7.4892578125</v>
      </c>
      <c r="P11" s="2">
        <f t="shared" si="10"/>
        <v>0.23622714772449172</v>
      </c>
      <c r="Q11">
        <f t="shared" si="11"/>
        <v>8.8169161606231228E-2</v>
      </c>
    </row>
    <row r="12" spans="1:17" x14ac:dyDescent="0.25">
      <c r="A12">
        <f t="shared" si="0"/>
        <v>10</v>
      </c>
      <c r="B12">
        <f t="shared" si="1"/>
        <v>3.2080078125</v>
      </c>
      <c r="C12">
        <f t="shared" si="2"/>
        <v>3.208984375</v>
      </c>
      <c r="D12">
        <f t="shared" si="3"/>
        <v>3.20849609375</v>
      </c>
      <c r="E12" s="2">
        <f t="shared" si="4"/>
        <v>-4.3372920982065466E-3</v>
      </c>
      <c r="F12">
        <f t="shared" si="5"/>
        <v>5.6536476686304127E-3</v>
      </c>
      <c r="L12">
        <f t="shared" si="6"/>
        <v>10</v>
      </c>
      <c r="M12">
        <f t="shared" si="7"/>
        <v>7.4892578125</v>
      </c>
      <c r="N12">
        <f t="shared" si="8"/>
        <v>7.490234375</v>
      </c>
      <c r="O12">
        <f t="shared" si="9"/>
        <v>7.48974609375</v>
      </c>
      <c r="P12" s="2">
        <f t="shared" si="10"/>
        <v>8.8169161606231228E-2</v>
      </c>
      <c r="Q12">
        <f t="shared" si="11"/>
        <v>1.406470292135964E-2</v>
      </c>
    </row>
    <row r="13" spans="1:17" x14ac:dyDescent="0.25">
      <c r="A13">
        <f t="shared" si="0"/>
        <v>11</v>
      </c>
      <c r="B13">
        <f t="shared" si="1"/>
        <v>3.2080078125</v>
      </c>
      <c r="C13">
        <f t="shared" si="2"/>
        <v>3.20849609375</v>
      </c>
      <c r="D13">
        <f t="shared" si="3"/>
        <v>3.208251953125</v>
      </c>
      <c r="E13" s="2">
        <f t="shared" si="4"/>
        <v>-4.3372920982065466E-3</v>
      </c>
      <c r="F13">
        <f t="shared" si="5"/>
        <v>6.5785247038974148E-4</v>
      </c>
      <c r="L13">
        <f t="shared" si="6"/>
        <v>11</v>
      </c>
      <c r="M13">
        <f t="shared" si="7"/>
        <v>7.48974609375</v>
      </c>
      <c r="N13">
        <f t="shared" si="8"/>
        <v>7.490234375</v>
      </c>
      <c r="O13">
        <f t="shared" si="9"/>
        <v>7.489990234375</v>
      </c>
      <c r="P13" s="2">
        <f t="shared" si="10"/>
        <v>1.406470292135964E-2</v>
      </c>
      <c r="Q13">
        <f t="shared" si="11"/>
        <v>-2.300640295266021E-2</v>
      </c>
    </row>
    <row r="14" spans="1:17" x14ac:dyDescent="0.25">
      <c r="A14">
        <f t="shared" si="0"/>
        <v>12</v>
      </c>
      <c r="B14">
        <f t="shared" si="1"/>
        <v>3.2080078125</v>
      </c>
      <c r="C14">
        <f t="shared" si="2"/>
        <v>3.208251953125</v>
      </c>
      <c r="D14">
        <f t="shared" si="3"/>
        <v>3.2081298828125</v>
      </c>
      <c r="E14" s="2">
        <f t="shared" si="4"/>
        <v>-4.3372920982065466E-3</v>
      </c>
      <c r="F14">
        <f t="shared" si="5"/>
        <v>-1.8398011432196881E-3</v>
      </c>
      <c r="L14">
        <f t="shared" si="6"/>
        <v>12</v>
      </c>
      <c r="M14">
        <f t="shared" si="7"/>
        <v>7.48974609375</v>
      </c>
      <c r="N14">
        <f t="shared" si="8"/>
        <v>7.489990234375</v>
      </c>
      <c r="O14">
        <f t="shared" si="9"/>
        <v>7.4898681640625</v>
      </c>
      <c r="P14" s="2">
        <f t="shared" si="10"/>
        <v>1.406470292135964E-2</v>
      </c>
      <c r="Q14">
        <f t="shared" si="11"/>
        <v>-4.4692766700791253E-3</v>
      </c>
    </row>
    <row r="15" spans="1:17" x14ac:dyDescent="0.25">
      <c r="A15">
        <f t="shared" si="0"/>
        <v>13</v>
      </c>
      <c r="B15">
        <f t="shared" si="1"/>
        <v>3.2081298828125</v>
      </c>
      <c r="C15">
        <f t="shared" si="2"/>
        <v>3.208251953125</v>
      </c>
      <c r="D15">
        <f t="shared" si="3"/>
        <v>3.20819091796875</v>
      </c>
      <c r="E15" s="2">
        <f t="shared" si="4"/>
        <v>-1.8398011432196881E-3</v>
      </c>
      <c r="F15">
        <f t="shared" si="5"/>
        <v>-5.9099466866285866E-4</v>
      </c>
      <c r="L15">
        <f t="shared" si="6"/>
        <v>13</v>
      </c>
      <c r="M15">
        <f t="shared" si="7"/>
        <v>7.48974609375</v>
      </c>
      <c r="N15">
        <f t="shared" si="8"/>
        <v>7.4898681640625</v>
      </c>
      <c r="O15">
        <f t="shared" si="9"/>
        <v>7.48980712890625</v>
      </c>
      <c r="P15" s="2">
        <f t="shared" si="10"/>
        <v>1.406470292135964E-2</v>
      </c>
      <c r="Q15">
        <f t="shared" si="11"/>
        <v>4.7981064394662098E-3</v>
      </c>
    </row>
    <row r="16" spans="1:17" x14ac:dyDescent="0.25">
      <c r="A16">
        <f t="shared" si="0"/>
        <v>14</v>
      </c>
      <c r="B16">
        <f t="shared" si="1"/>
        <v>3.20819091796875</v>
      </c>
      <c r="C16">
        <f t="shared" si="2"/>
        <v>3.208251953125</v>
      </c>
      <c r="D16" s="3">
        <f t="shared" si="3"/>
        <v>3.208221435546875</v>
      </c>
      <c r="E16" s="2">
        <f t="shared" si="4"/>
        <v>-5.9099466866285866E-4</v>
      </c>
      <c r="F16">
        <f t="shared" si="5"/>
        <v>3.3423817811240042E-5</v>
      </c>
      <c r="H16" t="s">
        <v>6</v>
      </c>
      <c r="L16">
        <f t="shared" si="6"/>
        <v>14</v>
      </c>
      <c r="M16">
        <f t="shared" si="7"/>
        <v>7.48980712890625</v>
      </c>
      <c r="N16">
        <f t="shared" si="8"/>
        <v>7.4898681640625</v>
      </c>
      <c r="O16">
        <f t="shared" si="9"/>
        <v>7.489837646484375</v>
      </c>
      <c r="P16" s="2">
        <f t="shared" si="10"/>
        <v>4.7981064394662098E-3</v>
      </c>
      <c r="Q16">
        <f t="shared" si="11"/>
        <v>1.6451321619115333E-4</v>
      </c>
    </row>
    <row r="17" spans="1:17" x14ac:dyDescent="0.25">
      <c r="A17">
        <f t="shared" si="0"/>
        <v>15</v>
      </c>
      <c r="B17">
        <f t="shared" si="1"/>
        <v>3.20819091796875</v>
      </c>
      <c r="C17">
        <f t="shared" si="2"/>
        <v>3.208221435546875</v>
      </c>
      <c r="D17">
        <f t="shared" si="3"/>
        <v>3.2082061767578125</v>
      </c>
      <c r="E17" s="2">
        <f t="shared" si="4"/>
        <v>-5.9099466866285866E-4</v>
      </c>
      <c r="F17">
        <f t="shared" si="5"/>
        <v>-2.7878669619951779E-4</v>
      </c>
      <c r="L17">
        <f t="shared" si="6"/>
        <v>15</v>
      </c>
      <c r="M17">
        <f t="shared" si="7"/>
        <v>7.489837646484375</v>
      </c>
      <c r="N17">
        <f t="shared" si="8"/>
        <v>7.4898681640625</v>
      </c>
      <c r="O17">
        <f t="shared" si="9"/>
        <v>7.4898529052734375</v>
      </c>
      <c r="P17" s="2">
        <f t="shared" si="10"/>
        <v>1.6451321619115333E-4</v>
      </c>
      <c r="Q17">
        <f t="shared" si="11"/>
        <v>-2.1523571436432576E-3</v>
      </c>
    </row>
    <row r="18" spans="1:17" x14ac:dyDescent="0.25">
      <c r="A18">
        <f t="shared" si="0"/>
        <v>16</v>
      </c>
      <c r="B18">
        <f t="shared" si="1"/>
        <v>3.2082061767578125</v>
      </c>
      <c r="C18">
        <f t="shared" si="2"/>
        <v>3.208221435546875</v>
      </c>
      <c r="D18">
        <f t="shared" si="3"/>
        <v>3.2082138061523438</v>
      </c>
      <c r="E18" s="2">
        <f t="shared" si="4"/>
        <v>-2.7878669619951779E-4</v>
      </c>
      <c r="F18">
        <f t="shared" si="5"/>
        <v>-1.2268175688490146E-4</v>
      </c>
      <c r="L18">
        <f t="shared" si="6"/>
        <v>16</v>
      </c>
      <c r="M18">
        <f t="shared" si="7"/>
        <v>7.489837646484375</v>
      </c>
      <c r="N18">
        <f t="shared" si="8"/>
        <v>7.4898529052734375</v>
      </c>
      <c r="O18">
        <f t="shared" si="9"/>
        <v>7.4898452758789063</v>
      </c>
      <c r="P18" s="2">
        <f t="shared" si="10"/>
        <v>1.6451321619115333E-4</v>
      </c>
      <c r="Q18">
        <f t="shared" si="11"/>
        <v>-9.939158181282437E-4</v>
      </c>
    </row>
    <row r="19" spans="1:17" x14ac:dyDescent="0.25">
      <c r="A19">
        <f t="shared" si="0"/>
        <v>17</v>
      </c>
      <c r="B19">
        <f t="shared" si="1"/>
        <v>3.2082138061523438</v>
      </c>
      <c r="C19">
        <f t="shared" si="2"/>
        <v>3.208221435546875</v>
      </c>
      <c r="D19">
        <f t="shared" si="3"/>
        <v>3.2082176208496094</v>
      </c>
      <c r="E19" s="2">
        <f t="shared" si="4"/>
        <v>-1.2268175688490146E-4</v>
      </c>
      <c r="F19">
        <f t="shared" si="5"/>
        <v>-4.4629048957744999E-5</v>
      </c>
      <c r="L19">
        <f t="shared" si="6"/>
        <v>17</v>
      </c>
      <c r="M19">
        <f t="shared" si="7"/>
        <v>7.489837646484375</v>
      </c>
      <c r="N19">
        <f t="shared" si="8"/>
        <v>7.4898452758789063</v>
      </c>
      <c r="O19">
        <f t="shared" si="9"/>
        <v>7.4898414611816406</v>
      </c>
      <c r="P19" s="2">
        <f t="shared" si="10"/>
        <v>1.6451321619115333E-4</v>
      </c>
      <c r="Q19">
        <f t="shared" si="11"/>
        <v>-4.146997645761985E-4</v>
      </c>
    </row>
    <row r="20" spans="1:17" x14ac:dyDescent="0.25">
      <c r="A20">
        <f t="shared" si="0"/>
        <v>18</v>
      </c>
      <c r="B20">
        <f t="shared" si="1"/>
        <v>3.2082176208496094</v>
      </c>
      <c r="C20">
        <f t="shared" si="2"/>
        <v>3.208221435546875</v>
      </c>
      <c r="D20">
        <f t="shared" si="3"/>
        <v>3.2082195281982422</v>
      </c>
      <c r="E20" s="2">
        <f t="shared" si="4"/>
        <v>-4.4629048957744999E-5</v>
      </c>
      <c r="F20">
        <f t="shared" si="5"/>
        <v>-5.6026354293692293E-6</v>
      </c>
      <c r="L20">
        <f t="shared" si="6"/>
        <v>18</v>
      </c>
      <c r="M20">
        <f t="shared" si="7"/>
        <v>7.489837646484375</v>
      </c>
      <c r="N20">
        <f t="shared" si="8"/>
        <v>7.4898414611816406</v>
      </c>
      <c r="O20">
        <f t="shared" si="9"/>
        <v>7.4898395538330078</v>
      </c>
      <c r="P20" s="2">
        <f t="shared" si="10"/>
        <v>1.6451321619115333E-4</v>
      </c>
      <c r="Q20">
        <f t="shared" si="11"/>
        <v>-1.2509289030049331E-4</v>
      </c>
    </row>
    <row r="21" spans="1:17" x14ac:dyDescent="0.25">
      <c r="A21">
        <f t="shared" si="0"/>
        <v>19</v>
      </c>
      <c r="B21">
        <f t="shared" si="1"/>
        <v>3.2082195281982422</v>
      </c>
      <c r="C21">
        <f t="shared" si="2"/>
        <v>3.208221435546875</v>
      </c>
      <c r="D21">
        <f t="shared" si="3"/>
        <v>3.2082204818725586</v>
      </c>
      <c r="E21" s="2">
        <f t="shared" si="4"/>
        <v>-5.6026354293692293E-6</v>
      </c>
      <c r="F21">
        <f t="shared" si="5"/>
        <v>1.391058622601804E-5</v>
      </c>
      <c r="L21">
        <f t="shared" si="6"/>
        <v>19</v>
      </c>
      <c r="M21">
        <f t="shared" si="7"/>
        <v>7.489837646484375</v>
      </c>
      <c r="N21">
        <f t="shared" si="8"/>
        <v>7.4898395538330078</v>
      </c>
      <c r="O21">
        <f t="shared" si="9"/>
        <v>7.4898386001586914</v>
      </c>
      <c r="P21" s="2">
        <f t="shared" si="10"/>
        <v>1.6451321619115333E-4</v>
      </c>
      <c r="Q21">
        <f t="shared" si="11"/>
        <v>1.9710259152816434E-5</v>
      </c>
    </row>
    <row r="22" spans="1:17" x14ac:dyDescent="0.25">
      <c r="A22">
        <f t="shared" si="0"/>
        <v>20</v>
      </c>
      <c r="B22">
        <f t="shared" si="1"/>
        <v>3.2082195281982422</v>
      </c>
      <c r="C22">
        <f t="shared" si="2"/>
        <v>3.2082204818725586</v>
      </c>
      <c r="D22">
        <f t="shared" si="3"/>
        <v>3.2082200050354004</v>
      </c>
      <c r="E22" s="2">
        <f t="shared" si="4"/>
        <v>-5.6026354293692293E-6</v>
      </c>
      <c r="F22">
        <f t="shared" si="5"/>
        <v>4.1539741566509747E-6</v>
      </c>
      <c r="L22">
        <f t="shared" si="6"/>
        <v>20</v>
      </c>
      <c r="M22">
        <f t="shared" si="7"/>
        <v>7.4898386001586914</v>
      </c>
      <c r="N22">
        <f t="shared" si="8"/>
        <v>7.4898395538330078</v>
      </c>
      <c r="O22">
        <f t="shared" si="9"/>
        <v>7.4898390769958496</v>
      </c>
      <c r="P22" s="2">
        <f t="shared" si="10"/>
        <v>1.9710259152816434E-5</v>
      </c>
      <c r="Q22">
        <f t="shared" si="11"/>
        <v>-5.2691291557493969E-5</v>
      </c>
    </row>
    <row r="23" spans="1:17" x14ac:dyDescent="0.25">
      <c r="A23">
        <f t="shared" si="0"/>
        <v>21</v>
      </c>
      <c r="B23">
        <f t="shared" si="1"/>
        <v>3.2082195281982422</v>
      </c>
      <c r="C23">
        <f t="shared" si="2"/>
        <v>3.2082200050354004</v>
      </c>
      <c r="D23">
        <f t="shared" si="3"/>
        <v>3.2082197666168213</v>
      </c>
      <c r="E23" s="2">
        <f t="shared" si="4"/>
        <v>-5.6026354293692293E-6</v>
      </c>
      <c r="F23">
        <f t="shared" si="5"/>
        <v>-7.2433094544521737E-7</v>
      </c>
      <c r="L23">
        <f t="shared" si="6"/>
        <v>21</v>
      </c>
      <c r="M23">
        <f t="shared" si="7"/>
        <v>7.4898386001586914</v>
      </c>
      <c r="N23">
        <f t="shared" si="8"/>
        <v>7.4898390769958496</v>
      </c>
      <c r="O23">
        <f t="shared" si="9"/>
        <v>7.4898388385772705</v>
      </c>
      <c r="P23" s="2">
        <f t="shared" si="10"/>
        <v>1.9710259152816434E-5</v>
      </c>
      <c r="Q23">
        <f t="shared" si="11"/>
        <v>-1.6490510176936368E-5</v>
      </c>
    </row>
    <row r="24" spans="1:17" x14ac:dyDescent="0.25">
      <c r="A24">
        <f t="shared" ref="A24:A34" si="12">+A23+1</f>
        <v>22</v>
      </c>
      <c r="B24">
        <f t="shared" ref="B24:B34" si="13">+IF(E23*F23 &lt; 0,B23,D23)</f>
        <v>3.2082197666168213</v>
      </c>
      <c r="C24">
        <f t="shared" ref="C24:C34" si="14">+IF(E23*F23 &lt; 0,D23,C23)</f>
        <v>3.2082200050354004</v>
      </c>
      <c r="D24">
        <f t="shared" ref="D24:D34" si="15">+(B24+C24)/2</f>
        <v>3.2082198858261108</v>
      </c>
      <c r="E24" s="2">
        <f t="shared" ref="E24:E34" si="16">+B24^3 - EXP(0.8 * B24) - 20</f>
        <v>-7.2433094544521737E-7</v>
      </c>
      <c r="F24">
        <f t="shared" ref="F24:F34" si="17">+D24^3 - EXP(0.8*D24) - 20</f>
        <v>1.7148215221141072E-6</v>
      </c>
      <c r="L24">
        <f t="shared" si="6"/>
        <v>22</v>
      </c>
      <c r="M24">
        <f t="shared" si="7"/>
        <v>7.4898386001586914</v>
      </c>
      <c r="N24">
        <f t="shared" si="8"/>
        <v>7.4898388385772705</v>
      </c>
      <c r="O24">
        <f t="shared" si="9"/>
        <v>7.489838719367981</v>
      </c>
      <c r="P24" s="2">
        <f t="shared" si="10"/>
        <v>1.9710259152816434E-5</v>
      </c>
      <c r="Q24">
        <f t="shared" si="11"/>
        <v>1.6098757669169572E-6</v>
      </c>
    </row>
    <row r="25" spans="1:17" x14ac:dyDescent="0.25">
      <c r="A25">
        <f t="shared" si="12"/>
        <v>23</v>
      </c>
      <c r="B25">
        <f t="shared" si="13"/>
        <v>3.2082197666168213</v>
      </c>
      <c r="C25">
        <f t="shared" si="14"/>
        <v>3.2082198858261108</v>
      </c>
      <c r="D25">
        <f t="shared" si="15"/>
        <v>3.2082198262214661</v>
      </c>
      <c r="E25" s="2">
        <f t="shared" si="16"/>
        <v>-7.2433094544521737E-7</v>
      </c>
      <c r="F25">
        <f t="shared" si="17"/>
        <v>4.9524527412359021E-7</v>
      </c>
      <c r="L25">
        <f t="shared" si="6"/>
        <v>23</v>
      </c>
      <c r="M25">
        <f t="shared" si="7"/>
        <v>7.489838719367981</v>
      </c>
      <c r="N25">
        <f t="shared" si="8"/>
        <v>7.4898388385772705</v>
      </c>
      <c r="O25">
        <f t="shared" si="9"/>
        <v>7.4898387789726257</v>
      </c>
      <c r="P25" s="2">
        <f t="shared" si="10"/>
        <v>1.6098757669169572E-6</v>
      </c>
      <c r="Q25">
        <f t="shared" si="11"/>
        <v>-7.4403168355274829E-6</v>
      </c>
    </row>
    <row r="26" spans="1:17" x14ac:dyDescent="0.25">
      <c r="A26">
        <f t="shared" si="12"/>
        <v>24</v>
      </c>
      <c r="B26">
        <f t="shared" si="13"/>
        <v>3.2082197666168213</v>
      </c>
      <c r="C26">
        <f t="shared" si="14"/>
        <v>3.2082198262214661</v>
      </c>
      <c r="D26">
        <f t="shared" si="15"/>
        <v>3.2082197964191437</v>
      </c>
      <c r="E26" s="2">
        <f t="shared" si="16"/>
        <v>-7.2433094544521737E-7</v>
      </c>
      <c r="F26">
        <f t="shared" si="17"/>
        <v>-1.1454284276624094E-7</v>
      </c>
      <c r="L26">
        <f t="shared" si="6"/>
        <v>24</v>
      </c>
      <c r="M26">
        <f t="shared" si="7"/>
        <v>7.489838719367981</v>
      </c>
      <c r="N26">
        <f t="shared" si="8"/>
        <v>7.4898387789726257</v>
      </c>
      <c r="O26">
        <f t="shared" si="9"/>
        <v>7.4898387491703033</v>
      </c>
      <c r="P26" s="2">
        <f t="shared" si="10"/>
        <v>1.6098757669169572E-6</v>
      </c>
      <c r="Q26">
        <f t="shared" si="11"/>
        <v>-2.9152202500881685E-6</v>
      </c>
    </row>
    <row r="27" spans="1:17" x14ac:dyDescent="0.25">
      <c r="A27">
        <f t="shared" si="12"/>
        <v>25</v>
      </c>
      <c r="B27">
        <f t="shared" si="13"/>
        <v>3.2082197964191437</v>
      </c>
      <c r="C27">
        <f t="shared" si="14"/>
        <v>3.2082198262214661</v>
      </c>
      <c r="D27">
        <f t="shared" si="15"/>
        <v>3.2082198113203049</v>
      </c>
      <c r="E27" s="2">
        <f t="shared" si="16"/>
        <v>-1.1454284276624094E-7</v>
      </c>
      <c r="F27">
        <f t="shared" si="17"/>
        <v>1.9035120857324728E-7</v>
      </c>
      <c r="L27">
        <f t="shared" si="6"/>
        <v>25</v>
      </c>
      <c r="M27">
        <f t="shared" si="7"/>
        <v>7.489838719367981</v>
      </c>
      <c r="N27">
        <f t="shared" si="8"/>
        <v>7.4898387491703033</v>
      </c>
      <c r="O27">
        <f t="shared" si="9"/>
        <v>7.4898387342691422</v>
      </c>
      <c r="P27" s="2">
        <f t="shared" si="10"/>
        <v>1.6098757669169572E-6</v>
      </c>
      <c r="Q27">
        <f t="shared" si="11"/>
        <v>-6.5267232685073395E-7</v>
      </c>
    </row>
    <row r="28" spans="1:17" x14ac:dyDescent="0.25">
      <c r="A28">
        <f t="shared" si="12"/>
        <v>26</v>
      </c>
      <c r="B28">
        <f t="shared" si="13"/>
        <v>3.2082197964191437</v>
      </c>
      <c r="C28">
        <f t="shared" si="14"/>
        <v>3.2082198113203049</v>
      </c>
      <c r="D28">
        <f t="shared" si="15"/>
        <v>3.2082198038697243</v>
      </c>
      <c r="E28" s="2">
        <f t="shared" si="16"/>
        <v>-1.1454284276624094E-7</v>
      </c>
      <c r="F28">
        <f t="shared" si="17"/>
        <v>3.7904186456216848E-8</v>
      </c>
      <c r="L28">
        <f t="shared" si="6"/>
        <v>26</v>
      </c>
      <c r="M28">
        <f t="shared" si="7"/>
        <v>7.489838719367981</v>
      </c>
      <c r="N28">
        <f t="shared" si="8"/>
        <v>7.4898387342691422</v>
      </c>
      <c r="O28">
        <f t="shared" si="9"/>
        <v>7.4898387268185616</v>
      </c>
      <c r="P28" s="2">
        <f t="shared" si="10"/>
        <v>1.6098757669169572E-6</v>
      </c>
      <c r="Q28">
        <f t="shared" si="11"/>
        <v>4.7860186214165878E-7</v>
      </c>
    </row>
    <row r="29" spans="1:17" x14ac:dyDescent="0.25">
      <c r="A29">
        <f t="shared" si="12"/>
        <v>27</v>
      </c>
      <c r="B29">
        <f t="shared" si="13"/>
        <v>3.2082197964191437</v>
      </c>
      <c r="C29">
        <f t="shared" si="14"/>
        <v>3.2082198038697243</v>
      </c>
      <c r="D29">
        <f t="shared" si="15"/>
        <v>3.208219800144434</v>
      </c>
      <c r="E29" s="2">
        <f t="shared" si="16"/>
        <v>-1.1454284276624094E-7</v>
      </c>
      <c r="F29">
        <f t="shared" si="17"/>
        <v>-3.8319328155012045E-8</v>
      </c>
      <c r="L29">
        <f t="shared" si="6"/>
        <v>27</v>
      </c>
      <c r="M29">
        <f t="shared" si="7"/>
        <v>7.4898387268185616</v>
      </c>
      <c r="N29">
        <f t="shared" si="8"/>
        <v>7.4898387342691422</v>
      </c>
      <c r="O29">
        <f t="shared" si="9"/>
        <v>7.4898387305438519</v>
      </c>
      <c r="P29" s="2">
        <f t="shared" si="10"/>
        <v>4.7860186214165878E-7</v>
      </c>
      <c r="Q29">
        <f t="shared" si="11"/>
        <v>-8.7035118667699862E-8</v>
      </c>
    </row>
    <row r="30" spans="1:17" x14ac:dyDescent="0.25">
      <c r="A30">
        <f t="shared" si="12"/>
        <v>28</v>
      </c>
      <c r="B30">
        <f t="shared" si="13"/>
        <v>3.208219800144434</v>
      </c>
      <c r="C30">
        <f t="shared" si="14"/>
        <v>3.2082198038697243</v>
      </c>
      <c r="D30">
        <f t="shared" si="15"/>
        <v>3.2082198020070791</v>
      </c>
      <c r="E30" s="2">
        <f t="shared" si="16"/>
        <v>-3.8319328155012045E-8</v>
      </c>
      <c r="F30">
        <f t="shared" si="17"/>
        <v>-2.0757795482495567E-10</v>
      </c>
      <c r="L30">
        <f t="shared" si="6"/>
        <v>28</v>
      </c>
      <c r="M30">
        <f t="shared" si="7"/>
        <v>7.4898387268185616</v>
      </c>
      <c r="N30">
        <f t="shared" si="8"/>
        <v>7.4898387305438519</v>
      </c>
      <c r="O30" s="3">
        <f t="shared" si="9"/>
        <v>7.4898387286812067</v>
      </c>
      <c r="P30" s="2">
        <f t="shared" si="10"/>
        <v>4.7860186214165878E-7</v>
      </c>
      <c r="Q30">
        <f t="shared" si="11"/>
        <v>1.9578322962843231E-7</v>
      </c>
    </row>
    <row r="31" spans="1:17" x14ac:dyDescent="0.25">
      <c r="A31">
        <f t="shared" si="12"/>
        <v>29</v>
      </c>
      <c r="B31">
        <f t="shared" si="13"/>
        <v>3.2082198020070791</v>
      </c>
      <c r="C31">
        <f t="shared" si="14"/>
        <v>3.2082198038697243</v>
      </c>
      <c r="D31">
        <f t="shared" si="15"/>
        <v>3.2082198029384017</v>
      </c>
      <c r="E31" s="2">
        <f t="shared" si="16"/>
        <v>-2.0757795482495567E-10</v>
      </c>
      <c r="F31">
        <f t="shared" si="17"/>
        <v>1.8848304250695946E-8</v>
      </c>
      <c r="L31">
        <f t="shared" si="6"/>
        <v>29</v>
      </c>
      <c r="M31">
        <f t="shared" si="7"/>
        <v>7.4898387286812067</v>
      </c>
      <c r="N31">
        <f t="shared" si="8"/>
        <v>7.4898387305438519</v>
      </c>
      <c r="O31">
        <f t="shared" si="9"/>
        <v>7.4898387296125293</v>
      </c>
      <c r="P31" s="2">
        <f t="shared" si="10"/>
        <v>1.9578322962843231E-7</v>
      </c>
      <c r="Q31">
        <f t="shared" si="11"/>
        <v>5.4373856528400211E-8</v>
      </c>
    </row>
    <row r="32" spans="1:17" x14ac:dyDescent="0.25">
      <c r="A32">
        <f t="shared" si="12"/>
        <v>30</v>
      </c>
      <c r="B32">
        <f t="shared" si="13"/>
        <v>3.2082198020070791</v>
      </c>
      <c r="C32">
        <f t="shared" si="14"/>
        <v>3.2082198029384017</v>
      </c>
      <c r="D32" s="3">
        <f t="shared" si="15"/>
        <v>3.2082198024727404</v>
      </c>
      <c r="E32" s="2">
        <f t="shared" si="16"/>
        <v>-2.0757795482495567E-10</v>
      </c>
      <c r="F32">
        <f t="shared" si="17"/>
        <v>9.3203667006491742E-9</v>
      </c>
      <c r="H32" t="s">
        <v>7</v>
      </c>
      <c r="L32">
        <f t="shared" si="6"/>
        <v>30</v>
      </c>
      <c r="M32">
        <f t="shared" si="7"/>
        <v>7.4898387296125293</v>
      </c>
      <c r="N32">
        <f t="shared" si="8"/>
        <v>7.4898387305438519</v>
      </c>
      <c r="O32">
        <f t="shared" si="9"/>
        <v>7.4898387300781906</v>
      </c>
      <c r="P32" s="2">
        <f t="shared" si="10"/>
        <v>5.4373856528400211E-8</v>
      </c>
      <c r="Q32">
        <f t="shared" si="11"/>
        <v>-1.6330602647940395E-8</v>
      </c>
    </row>
    <row r="33" spans="1:17" x14ac:dyDescent="0.25">
      <c r="A33">
        <f t="shared" si="12"/>
        <v>31</v>
      </c>
      <c r="B33">
        <f t="shared" si="13"/>
        <v>3.2082198020070791</v>
      </c>
      <c r="C33">
        <f t="shared" si="14"/>
        <v>3.2082198024727404</v>
      </c>
      <c r="D33">
        <f t="shared" si="15"/>
        <v>3.2082198022399098</v>
      </c>
      <c r="E33" s="2">
        <f t="shared" si="16"/>
        <v>-2.0757795482495567E-10</v>
      </c>
      <c r="F33">
        <f t="shared" si="17"/>
        <v>4.5563943729121092E-9</v>
      </c>
      <c r="L33">
        <f t="shared" si="6"/>
        <v>31</v>
      </c>
      <c r="M33">
        <f t="shared" si="7"/>
        <v>7.4898387296125293</v>
      </c>
      <c r="N33">
        <f t="shared" si="8"/>
        <v>7.4898387300781906</v>
      </c>
      <c r="O33">
        <f t="shared" si="9"/>
        <v>7.4898387298453599</v>
      </c>
      <c r="P33" s="2">
        <f t="shared" si="10"/>
        <v>5.4373856528400211E-8</v>
      </c>
      <c r="Q33">
        <f t="shared" si="11"/>
        <v>1.9021626940229908E-8</v>
      </c>
    </row>
    <row r="34" spans="1:17" x14ac:dyDescent="0.25">
      <c r="A34">
        <f t="shared" si="12"/>
        <v>32</v>
      </c>
      <c r="B34">
        <f t="shared" si="13"/>
        <v>3.2082198020070791</v>
      </c>
      <c r="C34">
        <f t="shared" si="14"/>
        <v>3.2082198022399098</v>
      </c>
      <c r="D34">
        <f t="shared" si="15"/>
        <v>3.2082198021234944</v>
      </c>
      <c r="E34" s="2">
        <f t="shared" si="16"/>
        <v>-2.0757795482495567E-10</v>
      </c>
      <c r="F34">
        <f t="shared" si="17"/>
        <v>2.174413538114095E-9</v>
      </c>
      <c r="L34">
        <f t="shared" si="6"/>
        <v>32</v>
      </c>
      <c r="M34">
        <f t="shared" si="7"/>
        <v>7.4898387298453599</v>
      </c>
      <c r="N34">
        <f t="shared" si="8"/>
        <v>7.4898387300781906</v>
      </c>
      <c r="O34">
        <f t="shared" si="9"/>
        <v>7.4898387299617752</v>
      </c>
      <c r="P34" s="2">
        <f t="shared" si="10"/>
        <v>1.9021626940229908E-8</v>
      </c>
      <c r="Q34">
        <f t="shared" si="11"/>
        <v>1.3457110981107689E-9</v>
      </c>
    </row>
    <row r="35" spans="1:17" x14ac:dyDescent="0.25">
      <c r="A35">
        <f t="shared" ref="A35" si="18">+A34+1</f>
        <v>33</v>
      </c>
      <c r="B35">
        <f t="shared" ref="B35" si="19">+IF(E34*F34 &lt; 0,B34,D34)</f>
        <v>3.2082198020070791</v>
      </c>
      <c r="C35">
        <f t="shared" ref="C35" si="20">+IF(E34*F34 &lt; 0,D34,C34)</f>
        <v>3.2082198021234944</v>
      </c>
      <c r="D35">
        <f t="shared" ref="D35" si="21">+(B35+C35)/2</f>
        <v>3.2082198020652868</v>
      </c>
      <c r="E35" s="2">
        <f t="shared" ref="E35" si="22">+B35^3 - EXP(0.8 * B35) - 20</f>
        <v>-2.0757795482495567E-10</v>
      </c>
      <c r="F35">
        <f t="shared" ref="F35" si="23">+D35^3 - EXP(0.8*D35) - 20</f>
        <v>9.8341956800140906E-10</v>
      </c>
      <c r="L35">
        <f t="shared" si="6"/>
        <v>33</v>
      </c>
      <c r="M35">
        <f t="shared" si="7"/>
        <v>7.4898387299617752</v>
      </c>
      <c r="N35">
        <f t="shared" si="8"/>
        <v>7.4898387300781906</v>
      </c>
      <c r="O35">
        <f t="shared" si="9"/>
        <v>7.4898387300199829</v>
      </c>
      <c r="P35" s="2">
        <f t="shared" si="10"/>
        <v>1.3457110981107689E-9</v>
      </c>
      <c r="Q35">
        <f t="shared" si="11"/>
        <v>-7.4924173532053828E-9</v>
      </c>
    </row>
    <row r="38" spans="1:17" x14ac:dyDescent="0.25">
      <c r="B38" t="s">
        <v>8</v>
      </c>
      <c r="C38">
        <v>3.2082000000000002</v>
      </c>
    </row>
    <row r="39" spans="1:17" x14ac:dyDescent="0.25">
      <c r="B39" t="s">
        <v>9</v>
      </c>
      <c r="C39">
        <v>7.4898300000000004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ACF0D-64F9-444C-86B9-5A1F207747E8}">
  <dimension ref="A1:E21"/>
  <sheetViews>
    <sheetView workbookViewId="0">
      <selection activeCell="E2" sqref="E2"/>
    </sheetView>
  </sheetViews>
  <sheetFormatPr baseColWidth="10" defaultRowHeight="15" x14ac:dyDescent="0.25"/>
  <cols>
    <col min="3" max="3" width="16.85546875" customWidth="1"/>
    <col min="5" max="5" width="15.28515625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>
        <v>0</v>
      </c>
      <c r="B2">
        <v>3</v>
      </c>
      <c r="C2">
        <f>+B2^3 - EXP(0.8*B2) - 20</f>
        <v>-4.0231763806416048</v>
      </c>
      <c r="D2">
        <f>3*B2^2-0.8*EXP(0.8*B2)</f>
        <v>18.181458895486713</v>
      </c>
      <c r="E2">
        <f>+B2 - C2/D2</f>
        <v>3.2212790735753498</v>
      </c>
    </row>
    <row r="3" spans="1:5" x14ac:dyDescent="0.25">
      <c r="A3">
        <f>+A2+1</f>
        <v>1</v>
      </c>
      <c r="B3">
        <f>+E2</f>
        <v>3.2212790735753498</v>
      </c>
      <c r="C3">
        <f xml:space="preserve"> B3^3 - EXP(0.8*B3) - 20</f>
        <v>0.26813753807199703</v>
      </c>
      <c r="D3">
        <f xml:space="preserve"> 3*B3^2 - 0.8*EXP(0.8*B3)</f>
        <v>20.603586923612387</v>
      </c>
      <c r="E3">
        <f xml:space="preserve"> B3 - C3/D3</f>
        <v>3.2082649542831065</v>
      </c>
    </row>
    <row r="4" spans="1:5" x14ac:dyDescent="0.25">
      <c r="A4">
        <f t="shared" ref="A4:A10" si="0">+A3+1</f>
        <v>2</v>
      </c>
      <c r="B4">
        <f t="shared" ref="B4:B10" si="1">+E3</f>
        <v>3.2082649542831065</v>
      </c>
      <c r="C4">
        <f t="shared" ref="C4:C10" si="2" xml:space="preserve"> B4^3 - EXP(0.8*B4) - 20</f>
        <v>9.2387586991549142E-4</v>
      </c>
      <c r="D4">
        <f t="shared" ref="D4:D10" si="3" xml:space="preserve"> 3*B4^2 - 0.8*EXP(0.8*B4)</f>
        <v>20.461586566493899</v>
      </c>
      <c r="E4">
        <f t="shared" ref="E4:E10" si="4" xml:space="preserve"> B4 - C4/D4</f>
        <v>3.2082198025610289</v>
      </c>
    </row>
    <row r="5" spans="1:5" x14ac:dyDescent="0.25">
      <c r="A5">
        <f t="shared" si="0"/>
        <v>3</v>
      </c>
      <c r="B5">
        <f t="shared" si="1"/>
        <v>3.2082198025610289</v>
      </c>
      <c r="C5">
        <f t="shared" si="2"/>
        <v>1.1126843446618295E-8</v>
      </c>
      <c r="D5">
        <f t="shared" si="3"/>
        <v>20.461093701114216</v>
      </c>
      <c r="E5">
        <f t="shared" si="4"/>
        <v>3.2082198020172239</v>
      </c>
    </row>
    <row r="6" spans="1:5" x14ac:dyDescent="0.25">
      <c r="A6" s="3">
        <f t="shared" si="0"/>
        <v>4</v>
      </c>
      <c r="B6" s="3">
        <f t="shared" si="1"/>
        <v>3.2082198020172239</v>
      </c>
      <c r="C6" s="3">
        <f t="shared" si="2"/>
        <v>0</v>
      </c>
      <c r="D6" s="3">
        <f t="shared" si="3"/>
        <v>20.46109369517816</v>
      </c>
      <c r="E6" s="3">
        <f t="shared" si="4"/>
        <v>3.2082198020172239</v>
      </c>
    </row>
    <row r="7" spans="1:5" x14ac:dyDescent="0.25">
      <c r="A7">
        <f t="shared" si="0"/>
        <v>5</v>
      </c>
      <c r="B7">
        <f t="shared" si="1"/>
        <v>3.2082198020172239</v>
      </c>
      <c r="C7">
        <f t="shared" si="2"/>
        <v>0</v>
      </c>
      <c r="D7">
        <f t="shared" si="3"/>
        <v>20.46109369517816</v>
      </c>
      <c r="E7">
        <f t="shared" si="4"/>
        <v>3.2082198020172239</v>
      </c>
    </row>
    <row r="8" spans="1:5" x14ac:dyDescent="0.25">
      <c r="A8">
        <f t="shared" si="0"/>
        <v>6</v>
      </c>
      <c r="B8">
        <f t="shared" si="1"/>
        <v>3.2082198020172239</v>
      </c>
      <c r="C8">
        <f t="shared" si="2"/>
        <v>0</v>
      </c>
      <c r="D8">
        <f t="shared" si="3"/>
        <v>20.46109369517816</v>
      </c>
      <c r="E8">
        <f t="shared" si="4"/>
        <v>3.2082198020172239</v>
      </c>
    </row>
    <row r="9" spans="1:5" x14ac:dyDescent="0.25">
      <c r="A9">
        <f t="shared" si="0"/>
        <v>7</v>
      </c>
      <c r="B9">
        <f t="shared" si="1"/>
        <v>3.2082198020172239</v>
      </c>
      <c r="C9">
        <f t="shared" si="2"/>
        <v>0</v>
      </c>
      <c r="D9">
        <f t="shared" si="3"/>
        <v>20.46109369517816</v>
      </c>
      <c r="E9">
        <f t="shared" si="4"/>
        <v>3.2082198020172239</v>
      </c>
    </row>
    <row r="10" spans="1:5" x14ac:dyDescent="0.25">
      <c r="A10">
        <f t="shared" si="0"/>
        <v>8</v>
      </c>
      <c r="B10">
        <f t="shared" si="1"/>
        <v>3.2082198020172239</v>
      </c>
      <c r="C10">
        <f t="shared" si="2"/>
        <v>0</v>
      </c>
      <c r="D10">
        <f t="shared" si="3"/>
        <v>20.46109369517816</v>
      </c>
      <c r="E10">
        <f t="shared" si="4"/>
        <v>3.2082198020172239</v>
      </c>
    </row>
    <row r="14" spans="1:5" x14ac:dyDescent="0.25">
      <c r="A14" t="s">
        <v>10</v>
      </c>
      <c r="B14" t="s">
        <v>11</v>
      </c>
      <c r="C14" t="s">
        <v>12</v>
      </c>
      <c r="D14" t="s">
        <v>13</v>
      </c>
      <c r="E14" t="s">
        <v>14</v>
      </c>
    </row>
    <row r="15" spans="1:5" x14ac:dyDescent="0.25">
      <c r="A15">
        <v>0</v>
      </c>
      <c r="B15">
        <v>7.5</v>
      </c>
      <c r="C15">
        <f>+B15^3 - EXP(0.8*B15) - 20</f>
        <v>-1.5537934927351102</v>
      </c>
      <c r="D15">
        <f>3*B15^2-0.8*EXP(0.8*B15)</f>
        <v>-153.99303479418813</v>
      </c>
      <c r="E15">
        <f>+B15 - C15/D15</f>
        <v>7.4899099755075822</v>
      </c>
    </row>
    <row r="16" spans="1:5" x14ac:dyDescent="0.25">
      <c r="A16">
        <f>+A15+1</f>
        <v>1</v>
      </c>
      <c r="B16">
        <f>+E15</f>
        <v>7.4899099755075822</v>
      </c>
      <c r="C16">
        <f xml:space="preserve"> B16^3 - EXP(0.8*B16) - 20</f>
        <v>-1.0818246930170972E-2</v>
      </c>
      <c r="D16">
        <f xml:space="preserve"> 3*B16^2 - 0.8*EXP(0.8*B16)</f>
        <v>-151.85207870033943</v>
      </c>
      <c r="E16">
        <f xml:space="preserve"> B16 - C16/D16</f>
        <v>7.4898387335000791</v>
      </c>
    </row>
    <row r="17" spans="1:5" x14ac:dyDescent="0.25">
      <c r="A17" s="3">
        <f t="shared" ref="A17:A21" si="5">+A16+1</f>
        <v>2</v>
      </c>
      <c r="B17" s="3">
        <f t="shared" ref="B17:B21" si="6">+E16</f>
        <v>7.4898387335000791</v>
      </c>
      <c r="C17" s="3">
        <f t="shared" ref="C17:C21" si="7" xml:space="preserve"> B17^3 - EXP(0.8*B17) - 20</f>
        <v>-5.3589991466651554E-7</v>
      </c>
      <c r="D17" s="3">
        <f t="shared" ref="D17:D21" si="8" xml:space="preserve"> 3*B17^2 - 0.8*EXP(0.8*B17)</f>
        <v>-151.83703437444882</v>
      </c>
      <c r="E17" s="3">
        <f t="shared" ref="E17:E21" si="9" xml:space="preserve"> B17 - C17/D17</f>
        <v>7.4898387299706375</v>
      </c>
    </row>
    <row r="18" spans="1:5" x14ac:dyDescent="0.25">
      <c r="A18">
        <f t="shared" si="5"/>
        <v>3</v>
      </c>
      <c r="B18">
        <f t="shared" si="6"/>
        <v>7.4898387299706375</v>
      </c>
      <c r="C18">
        <f t="shared" si="7"/>
        <v>-1.1368683772161603E-13</v>
      </c>
      <c r="D18">
        <f t="shared" si="8"/>
        <v>-151.83703362915429</v>
      </c>
      <c r="E18">
        <f t="shared" si="9"/>
        <v>7.4898387299706366</v>
      </c>
    </row>
    <row r="19" spans="1:5" x14ac:dyDescent="0.25">
      <c r="A19">
        <f t="shared" si="5"/>
        <v>4</v>
      </c>
      <c r="B19">
        <f t="shared" si="6"/>
        <v>7.4898387299706366</v>
      </c>
      <c r="C19">
        <f t="shared" si="7"/>
        <v>5.6843418860808015E-14</v>
      </c>
      <c r="D19">
        <f t="shared" si="8"/>
        <v>-151.83703362915406</v>
      </c>
      <c r="E19">
        <f t="shared" si="9"/>
        <v>7.4898387299706366</v>
      </c>
    </row>
    <row r="20" spans="1:5" x14ac:dyDescent="0.25">
      <c r="A20">
        <f t="shared" si="5"/>
        <v>5</v>
      </c>
      <c r="B20">
        <f t="shared" si="6"/>
        <v>7.4898387299706366</v>
      </c>
      <c r="C20">
        <f t="shared" si="7"/>
        <v>5.6843418860808015E-14</v>
      </c>
      <c r="D20">
        <f t="shared" si="8"/>
        <v>-151.83703362915406</v>
      </c>
      <c r="E20">
        <f t="shared" si="9"/>
        <v>7.4898387299706366</v>
      </c>
    </row>
    <row r="21" spans="1:5" x14ac:dyDescent="0.25">
      <c r="A21">
        <f t="shared" si="5"/>
        <v>6</v>
      </c>
      <c r="B21">
        <f t="shared" si="6"/>
        <v>7.4898387299706366</v>
      </c>
      <c r="C21">
        <f t="shared" si="7"/>
        <v>5.6843418860808015E-14</v>
      </c>
      <c r="D21">
        <f t="shared" si="8"/>
        <v>-151.83703362915406</v>
      </c>
      <c r="E21">
        <f t="shared" si="9"/>
        <v>7.4898387299706366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20983-BDF9-46F8-9279-9A2332550C7F}">
  <dimension ref="A1:G34"/>
  <sheetViews>
    <sheetView tabSelected="1" workbookViewId="0">
      <selection activeCell="A27" sqref="A27:G27"/>
    </sheetView>
  </sheetViews>
  <sheetFormatPr baseColWidth="10" defaultRowHeight="15" x14ac:dyDescent="0.25"/>
  <cols>
    <col min="1" max="1" width="11.42578125" customWidth="1"/>
    <col min="6" max="6" width="24.7109375" customWidth="1"/>
    <col min="7" max="7" width="19.5703125" customWidth="1"/>
  </cols>
  <sheetData>
    <row r="1" spans="1:7" ht="15" customHeight="1" x14ac:dyDescent="0.25">
      <c r="A1" s="5" t="s">
        <v>0</v>
      </c>
      <c r="B1" s="5" t="s">
        <v>16</v>
      </c>
      <c r="C1" s="5" t="s">
        <v>17</v>
      </c>
      <c r="D1" s="5" t="s">
        <v>18</v>
      </c>
      <c r="E1" s="5" t="s">
        <v>12</v>
      </c>
      <c r="F1" s="5" t="s">
        <v>19</v>
      </c>
      <c r="G1" s="5" t="s">
        <v>15</v>
      </c>
    </row>
    <row r="2" spans="1:7" x14ac:dyDescent="0.25">
      <c r="A2">
        <v>0</v>
      </c>
      <c r="B2">
        <v>3</v>
      </c>
      <c r="C2">
        <f xml:space="preserve"> B2^3 - EXP(0.8*B2) - 20</f>
        <v>-4.0231763806416048</v>
      </c>
      <c r="D2">
        <v>4</v>
      </c>
      <c r="E2">
        <f>+D2^3-EXP(0.8*D2)-20</f>
        <v>19.467469802890648</v>
      </c>
      <c r="F2">
        <f>+D2 - E2 * ((D2 - B2) / (E2 - C2))</f>
        <v>3.1712671652030582</v>
      </c>
      <c r="G2">
        <f xml:space="preserve"> ABS(F2 - D2)</f>
        <v>0.82873283479694182</v>
      </c>
    </row>
    <row r="3" spans="1:7" x14ac:dyDescent="0.25">
      <c r="A3">
        <f>+A2+1</f>
        <v>1</v>
      </c>
      <c r="B3">
        <f>+D2</f>
        <v>4</v>
      </c>
      <c r="C3">
        <f>+E2</f>
        <v>19.467469802890648</v>
      </c>
      <c r="D3">
        <f>+F2</f>
        <v>3.1712671652030582</v>
      </c>
      <c r="E3">
        <f>+D3^3-EXP(0.8*D3)-20</f>
        <v>-0.74863343680182481</v>
      </c>
      <c r="F3">
        <f>+D3-E3*((D3-B3)/(E3-C3))</f>
        <v>3.2019564183666658</v>
      </c>
      <c r="G3">
        <f xml:space="preserve"> ABS(F3 - D3)</f>
        <v>3.0689253163607599E-2</v>
      </c>
    </row>
    <row r="4" spans="1:7" x14ac:dyDescent="0.25">
      <c r="A4">
        <f t="shared" ref="A4:A13" si="0">+A3+1</f>
        <v>2</v>
      </c>
      <c r="B4">
        <f t="shared" ref="B4:B13" si="1">+D3</f>
        <v>3.1712671652030582</v>
      </c>
      <c r="C4">
        <f t="shared" ref="C4:C13" si="2">+E3</f>
        <v>-0.74863343680182481</v>
      </c>
      <c r="D4">
        <f t="shared" ref="D4:D13" si="3">+F3</f>
        <v>3.2019564183666658</v>
      </c>
      <c r="E4">
        <f t="shared" ref="E4:E13" si="4">+D4^3-EXP(0.8*D4)-20</f>
        <v>-0.12794153995860569</v>
      </c>
      <c r="F4">
        <f t="shared" ref="F4:F13" si="5">+D4-E4*((D4-B4)/(E4-C4))</f>
        <v>3.2082823110195275</v>
      </c>
      <c r="G4">
        <f t="shared" ref="G4:G13" si="6" xml:space="preserve"> ABS(F4 - D4)</f>
        <v>6.3258926528617643E-3</v>
      </c>
    </row>
    <row r="5" spans="1:7" x14ac:dyDescent="0.25">
      <c r="A5">
        <f t="shared" si="0"/>
        <v>3</v>
      </c>
      <c r="B5">
        <f t="shared" si="1"/>
        <v>3.2019564183666658</v>
      </c>
      <c r="C5">
        <f t="shared" si="2"/>
        <v>-0.12794153995860569</v>
      </c>
      <c r="D5">
        <f t="shared" si="3"/>
        <v>3.2082823110195275</v>
      </c>
      <c r="E5">
        <f t="shared" si="4"/>
        <v>1.2790238789150976E-3</v>
      </c>
      <c r="F5">
        <f t="shared" si="5"/>
        <v>3.208219697395827</v>
      </c>
      <c r="G5">
        <f t="shared" si="6"/>
        <v>6.2613623700524812E-5</v>
      </c>
    </row>
    <row r="6" spans="1:7" x14ac:dyDescent="0.25">
      <c r="A6">
        <f t="shared" si="0"/>
        <v>4</v>
      </c>
      <c r="B6">
        <f t="shared" si="1"/>
        <v>3.2082823110195275</v>
      </c>
      <c r="C6">
        <f t="shared" si="2"/>
        <v>1.2790238789150976E-3</v>
      </c>
      <c r="D6">
        <f t="shared" si="3"/>
        <v>3.208219697395827</v>
      </c>
      <c r="E6">
        <f t="shared" si="4"/>
        <v>-2.1406681440794273E-6</v>
      </c>
      <c r="F6">
        <f t="shared" si="5"/>
        <v>3.2082198020154795</v>
      </c>
      <c r="G6">
        <f t="shared" si="6"/>
        <v>1.0461965249675131E-7</v>
      </c>
    </row>
    <row r="7" spans="1:7" x14ac:dyDescent="0.25">
      <c r="A7">
        <f t="shared" si="0"/>
        <v>5</v>
      </c>
      <c r="B7">
        <f t="shared" si="1"/>
        <v>3.208219697395827</v>
      </c>
      <c r="C7">
        <f t="shared" si="2"/>
        <v>-2.1406681440794273E-6</v>
      </c>
      <c r="D7">
        <f t="shared" si="3"/>
        <v>3.2082198020154795</v>
      </c>
      <c r="E7">
        <f t="shared" si="4"/>
        <v>-3.5687008903551032E-11</v>
      </c>
      <c r="F7">
        <f t="shared" si="5"/>
        <v>3.2082198020172235</v>
      </c>
      <c r="G7">
        <f t="shared" si="6"/>
        <v>1.7439383270811959E-12</v>
      </c>
    </row>
    <row r="8" spans="1:7" x14ac:dyDescent="0.25">
      <c r="A8" s="3">
        <f t="shared" si="0"/>
        <v>6</v>
      </c>
      <c r="B8" s="3">
        <f t="shared" si="1"/>
        <v>3.2082198020154795</v>
      </c>
      <c r="C8" s="3">
        <f t="shared" si="2"/>
        <v>-3.5687008903551032E-11</v>
      </c>
      <c r="D8" s="3">
        <f t="shared" si="3"/>
        <v>3.2082198020172235</v>
      </c>
      <c r="E8" s="3">
        <f t="shared" si="4"/>
        <v>0</v>
      </c>
      <c r="F8" s="3">
        <f t="shared" si="5"/>
        <v>3.2082198020172235</v>
      </c>
      <c r="G8" s="3">
        <f t="shared" si="6"/>
        <v>0</v>
      </c>
    </row>
    <row r="9" spans="1:7" x14ac:dyDescent="0.25">
      <c r="A9">
        <f t="shared" si="0"/>
        <v>7</v>
      </c>
      <c r="B9">
        <f t="shared" si="1"/>
        <v>3.2082198020172235</v>
      </c>
      <c r="C9">
        <f t="shared" si="2"/>
        <v>0</v>
      </c>
      <c r="D9">
        <f t="shared" si="3"/>
        <v>3.2082198020172235</v>
      </c>
      <c r="E9">
        <f t="shared" si="4"/>
        <v>0</v>
      </c>
      <c r="F9" t="e">
        <f t="shared" si="5"/>
        <v>#DIV/0!</v>
      </c>
      <c r="G9" t="e">
        <f t="shared" si="6"/>
        <v>#DIV/0!</v>
      </c>
    </row>
    <row r="10" spans="1:7" x14ac:dyDescent="0.25">
      <c r="A10">
        <f t="shared" si="0"/>
        <v>8</v>
      </c>
      <c r="B10">
        <f t="shared" si="1"/>
        <v>3.2082198020172235</v>
      </c>
      <c r="C10">
        <f t="shared" si="2"/>
        <v>0</v>
      </c>
      <c r="D10" t="e">
        <f t="shared" si="3"/>
        <v>#DIV/0!</v>
      </c>
      <c r="E10" t="e">
        <f t="shared" si="4"/>
        <v>#DIV/0!</v>
      </c>
      <c r="F10" t="e">
        <f t="shared" si="5"/>
        <v>#DIV/0!</v>
      </c>
      <c r="G10" t="e">
        <f t="shared" si="6"/>
        <v>#DIV/0!</v>
      </c>
    </row>
    <row r="11" spans="1:7" x14ac:dyDescent="0.25">
      <c r="A11">
        <f t="shared" si="0"/>
        <v>9</v>
      </c>
      <c r="B11" t="e">
        <f t="shared" si="1"/>
        <v>#DIV/0!</v>
      </c>
      <c r="C11" t="e">
        <f t="shared" si="2"/>
        <v>#DIV/0!</v>
      </c>
      <c r="D11" t="e">
        <f t="shared" si="3"/>
        <v>#DIV/0!</v>
      </c>
      <c r="E11" t="e">
        <f t="shared" si="4"/>
        <v>#DIV/0!</v>
      </c>
      <c r="F11" t="e">
        <f t="shared" si="5"/>
        <v>#DIV/0!</v>
      </c>
      <c r="G11" t="e">
        <f t="shared" si="6"/>
        <v>#DIV/0!</v>
      </c>
    </row>
    <row r="12" spans="1:7" x14ac:dyDescent="0.25">
      <c r="A12">
        <f t="shared" si="0"/>
        <v>10</v>
      </c>
      <c r="B12" t="e">
        <f t="shared" si="1"/>
        <v>#DIV/0!</v>
      </c>
      <c r="C12" t="e">
        <f t="shared" si="2"/>
        <v>#DIV/0!</v>
      </c>
      <c r="D12" t="e">
        <f t="shared" si="3"/>
        <v>#DIV/0!</v>
      </c>
      <c r="E12" t="e">
        <f t="shared" si="4"/>
        <v>#DIV/0!</v>
      </c>
      <c r="F12" t="e">
        <f t="shared" si="5"/>
        <v>#DIV/0!</v>
      </c>
      <c r="G12" t="e">
        <f t="shared" si="6"/>
        <v>#DIV/0!</v>
      </c>
    </row>
    <row r="13" spans="1:7" x14ac:dyDescent="0.25">
      <c r="A13">
        <f t="shared" si="0"/>
        <v>11</v>
      </c>
      <c r="B13" t="e">
        <f t="shared" si="1"/>
        <v>#DIV/0!</v>
      </c>
      <c r="C13" t="e">
        <f t="shared" si="2"/>
        <v>#DIV/0!</v>
      </c>
      <c r="D13" t="e">
        <f t="shared" si="3"/>
        <v>#DIV/0!</v>
      </c>
      <c r="E13" t="e">
        <f t="shared" si="4"/>
        <v>#DIV/0!</v>
      </c>
      <c r="F13" t="e">
        <f t="shared" si="5"/>
        <v>#DIV/0!</v>
      </c>
      <c r="G13" t="e">
        <f t="shared" si="6"/>
        <v>#DIV/0!</v>
      </c>
    </row>
    <row r="17" spans="1:7" x14ac:dyDescent="0.25">
      <c r="A17" s="5" t="s">
        <v>0</v>
      </c>
      <c r="B17" s="5" t="s">
        <v>16</v>
      </c>
      <c r="C17" s="5" t="s">
        <v>17</v>
      </c>
      <c r="D17" s="5" t="s">
        <v>18</v>
      </c>
      <c r="E17" s="5" t="s">
        <v>12</v>
      </c>
      <c r="F17" s="5" t="s">
        <v>19</v>
      </c>
      <c r="G17" s="5" t="s">
        <v>15</v>
      </c>
    </row>
    <row r="18" spans="1:7" x14ac:dyDescent="0.25">
      <c r="A18">
        <v>0</v>
      </c>
      <c r="B18">
        <v>7</v>
      </c>
      <c r="C18">
        <f xml:space="preserve"> B18^3 - EXP(0.8*B18) - 20</f>
        <v>52.573592573847236</v>
      </c>
      <c r="D18">
        <v>8</v>
      </c>
      <c r="E18">
        <f>+D18^3-EXP(0.8*D18)-20</f>
        <v>-109.84503787208223</v>
      </c>
      <c r="F18">
        <f>+D18 - E18 * ((D18 - B18) / (E18 - C18))</f>
        <v>7.3236918845424537</v>
      </c>
      <c r="G18">
        <f xml:space="preserve"> ABS(F18 - D18)</f>
        <v>0.67630811545754632</v>
      </c>
    </row>
    <row r="19" spans="1:7" x14ac:dyDescent="0.25">
      <c r="A19">
        <f>+A18+1</f>
        <v>1</v>
      </c>
      <c r="B19">
        <f>+D18</f>
        <v>8</v>
      </c>
      <c r="C19">
        <f>+E18</f>
        <v>-109.84503787208223</v>
      </c>
      <c r="D19">
        <f>+F18</f>
        <v>7.3236918845424537</v>
      </c>
      <c r="E19">
        <f>+D19^3-EXP(0.8*D19)-20</f>
        <v>22.459621607538395</v>
      </c>
      <c r="F19">
        <f>+D19-E19*((D19-B19)/(E19-C19))</f>
        <v>7.4384998166517802</v>
      </c>
      <c r="G19">
        <f xml:space="preserve"> ABS(F19 - D19)</f>
        <v>0.11480793210932649</v>
      </c>
    </row>
    <row r="20" spans="1:7" x14ac:dyDescent="0.25">
      <c r="A20">
        <f t="shared" ref="A20:A26" si="7">+A19+1</f>
        <v>2</v>
      </c>
      <c r="B20">
        <f t="shared" ref="B20:B26" si="8">+D19</f>
        <v>7.3236918845424537</v>
      </c>
      <c r="C20">
        <f t="shared" ref="C20:C26" si="9">+E19</f>
        <v>22.459621607538395</v>
      </c>
      <c r="D20">
        <f t="shared" ref="D20:D26" si="10">+F19</f>
        <v>7.4384998166517802</v>
      </c>
      <c r="E20">
        <f t="shared" ref="E20:E34" si="11">+D20^3-EXP(0.8*D20)-20</f>
        <v>7.5213043492045699</v>
      </c>
      <c r="F20">
        <f t="shared" ref="F20:F26" si="12">+D20-E20*((D20-B20)/(E20-C20))</f>
        <v>7.4963045468743443</v>
      </c>
      <c r="G20">
        <f t="shared" ref="G20:G26" si="13" xml:space="preserve"> ABS(F20 - D20)</f>
        <v>5.780473022256416E-2</v>
      </c>
    </row>
    <row r="21" spans="1:7" x14ac:dyDescent="0.25">
      <c r="A21">
        <f t="shared" si="7"/>
        <v>3</v>
      </c>
      <c r="B21">
        <f t="shared" si="8"/>
        <v>7.4384998166517802</v>
      </c>
      <c r="C21">
        <f t="shared" si="9"/>
        <v>7.5213043492045699</v>
      </c>
      <c r="D21">
        <f t="shared" si="10"/>
        <v>7.4963045468743443</v>
      </c>
      <c r="E21">
        <f t="shared" si="11"/>
        <v>-0.98617349676993626</v>
      </c>
      <c r="F21">
        <f t="shared" si="12"/>
        <v>7.4896039131535757</v>
      </c>
      <c r="G21">
        <f t="shared" si="13"/>
        <v>6.7006337207686784E-3</v>
      </c>
    </row>
    <row r="22" spans="1:7" x14ac:dyDescent="0.25">
      <c r="A22">
        <f t="shared" si="7"/>
        <v>4</v>
      </c>
      <c r="B22">
        <f t="shared" si="8"/>
        <v>7.4963045468743443</v>
      </c>
      <c r="C22">
        <f t="shared" si="9"/>
        <v>-0.98617349676993626</v>
      </c>
      <c r="D22">
        <f t="shared" si="10"/>
        <v>7.4896039131535757</v>
      </c>
      <c r="E22">
        <f t="shared" si="11"/>
        <v>3.5648067670081218E-2</v>
      </c>
      <c r="F22">
        <f t="shared" si="12"/>
        <v>7.4898376767113461</v>
      </c>
      <c r="G22">
        <f t="shared" si="13"/>
        <v>2.337635577704944E-4</v>
      </c>
    </row>
    <row r="23" spans="1:7" x14ac:dyDescent="0.25">
      <c r="A23">
        <f t="shared" si="7"/>
        <v>5</v>
      </c>
      <c r="B23">
        <f t="shared" si="8"/>
        <v>7.4896039131535757</v>
      </c>
      <c r="C23">
        <f t="shared" si="9"/>
        <v>3.5648067670081218E-2</v>
      </c>
      <c r="D23">
        <f t="shared" si="10"/>
        <v>7.4898376767113461</v>
      </c>
      <c r="E23">
        <f t="shared" si="11"/>
        <v>1.5992364939165782E-4</v>
      </c>
      <c r="F23">
        <f t="shared" si="12"/>
        <v>7.4898387301426341</v>
      </c>
      <c r="G23">
        <f t="shared" si="13"/>
        <v>1.0534312879784125E-6</v>
      </c>
    </row>
    <row r="24" spans="1:7" x14ac:dyDescent="0.25">
      <c r="A24">
        <f t="shared" si="7"/>
        <v>6</v>
      </c>
      <c r="B24">
        <f t="shared" si="8"/>
        <v>7.4898376767113461</v>
      </c>
      <c r="C24">
        <f t="shared" si="9"/>
        <v>1.5992364939165782E-4</v>
      </c>
      <c r="D24">
        <f t="shared" si="10"/>
        <v>7.4898387301426341</v>
      </c>
      <c r="E24">
        <f t="shared" si="11"/>
        <v>-2.6115685614058748E-8</v>
      </c>
      <c r="F24">
        <f t="shared" si="12"/>
        <v>7.4898387299706357</v>
      </c>
      <c r="G24">
        <f t="shared" si="13"/>
        <v>1.7199841551018835E-10</v>
      </c>
    </row>
    <row r="25" spans="1:7" x14ac:dyDescent="0.25">
      <c r="A25">
        <f t="shared" si="7"/>
        <v>7</v>
      </c>
      <c r="B25">
        <f t="shared" si="8"/>
        <v>7.4898387301426341</v>
      </c>
      <c r="C25">
        <f t="shared" si="9"/>
        <v>-2.6115685614058748E-8</v>
      </c>
      <c r="D25">
        <f t="shared" si="10"/>
        <v>7.4898387299706357</v>
      </c>
      <c r="E25">
        <f t="shared" si="11"/>
        <v>3.4106051316484809E-13</v>
      </c>
      <c r="F25">
        <f t="shared" si="12"/>
        <v>7.4898387299706384</v>
      </c>
      <c r="G25">
        <f t="shared" si="13"/>
        <v>2.6645352591003757E-15</v>
      </c>
    </row>
    <row r="26" spans="1:7" x14ac:dyDescent="0.25">
      <c r="A26">
        <f t="shared" si="7"/>
        <v>8</v>
      </c>
      <c r="B26">
        <f t="shared" si="8"/>
        <v>7.4898387299706357</v>
      </c>
      <c r="C26">
        <f t="shared" si="9"/>
        <v>3.4106051316484809E-13</v>
      </c>
      <c r="D26">
        <f t="shared" si="10"/>
        <v>7.4898387299706384</v>
      </c>
      <c r="E26">
        <f t="shared" si="11"/>
        <v>-3.4106051316484809E-13</v>
      </c>
      <c r="F26">
        <f t="shared" si="12"/>
        <v>7.4898387299706375</v>
      </c>
      <c r="G26">
        <f t="shared" si="13"/>
        <v>8.8817841970012523E-16</v>
      </c>
    </row>
    <row r="27" spans="1:7" x14ac:dyDescent="0.25">
      <c r="A27" s="3">
        <f>+A26+1</f>
        <v>9</v>
      </c>
      <c r="B27" s="3">
        <f>+D26</f>
        <v>7.4898387299706384</v>
      </c>
      <c r="C27" s="3">
        <f>+E26</f>
        <v>-3.4106051316484809E-13</v>
      </c>
      <c r="D27" s="3">
        <f>+F26</f>
        <v>7.4898387299706375</v>
      </c>
      <c r="E27" s="3">
        <f>+D27^3-EXP(0.8*D27)-20</f>
        <v>-1.1368683772161603E-13</v>
      </c>
      <c r="F27" s="3">
        <f>+D27-E27*((D27-B27)/(E27-C27))</f>
        <v>7.4898387299706375</v>
      </c>
      <c r="G27" s="3">
        <f xml:space="preserve"> ABS(F27 - D27)</f>
        <v>0</v>
      </c>
    </row>
    <row r="28" spans="1:7" x14ac:dyDescent="0.25">
      <c r="A28">
        <f t="shared" ref="A28:A34" si="14">+A27+1</f>
        <v>10</v>
      </c>
      <c r="B28">
        <f t="shared" ref="B28:B34" si="15">+D27</f>
        <v>7.4898387299706375</v>
      </c>
      <c r="C28">
        <f t="shared" ref="C28:C34" si="16">+E27</f>
        <v>-1.1368683772161603E-13</v>
      </c>
      <c r="D28">
        <f t="shared" ref="D28:D34" si="17">+F27</f>
        <v>7.4898387299706375</v>
      </c>
      <c r="E28">
        <f t="shared" si="11"/>
        <v>-1.1368683772161603E-13</v>
      </c>
      <c r="F28" t="e">
        <f t="shared" ref="F28:F34" si="18">+D28-E28*((D28-B28)/(E28-C28))</f>
        <v>#DIV/0!</v>
      </c>
      <c r="G28" t="e">
        <f t="shared" ref="G28:G34" si="19" xml:space="preserve"> ABS(F28 - D28)</f>
        <v>#DIV/0!</v>
      </c>
    </row>
    <row r="29" spans="1:7" x14ac:dyDescent="0.25">
      <c r="A29">
        <f t="shared" si="14"/>
        <v>11</v>
      </c>
      <c r="B29">
        <f t="shared" si="15"/>
        <v>7.4898387299706375</v>
      </c>
      <c r="C29">
        <f t="shared" si="16"/>
        <v>-1.1368683772161603E-13</v>
      </c>
      <c r="D29" t="e">
        <f t="shared" si="17"/>
        <v>#DIV/0!</v>
      </c>
      <c r="E29" t="e">
        <f t="shared" si="11"/>
        <v>#DIV/0!</v>
      </c>
      <c r="F29" t="e">
        <f t="shared" si="18"/>
        <v>#DIV/0!</v>
      </c>
      <c r="G29" t="e">
        <f t="shared" si="19"/>
        <v>#DIV/0!</v>
      </c>
    </row>
    <row r="30" spans="1:7" x14ac:dyDescent="0.25">
      <c r="A30">
        <f t="shared" si="14"/>
        <v>12</v>
      </c>
      <c r="B30" t="e">
        <f t="shared" si="15"/>
        <v>#DIV/0!</v>
      </c>
      <c r="C30" t="e">
        <f t="shared" si="16"/>
        <v>#DIV/0!</v>
      </c>
      <c r="D30" t="e">
        <f t="shared" si="17"/>
        <v>#DIV/0!</v>
      </c>
      <c r="E30" t="e">
        <f t="shared" si="11"/>
        <v>#DIV/0!</v>
      </c>
      <c r="F30" t="e">
        <f t="shared" si="18"/>
        <v>#DIV/0!</v>
      </c>
      <c r="G30" t="e">
        <f t="shared" si="19"/>
        <v>#DIV/0!</v>
      </c>
    </row>
    <row r="31" spans="1:7" x14ac:dyDescent="0.25">
      <c r="A31">
        <f t="shared" si="14"/>
        <v>13</v>
      </c>
      <c r="B31" t="e">
        <f t="shared" si="15"/>
        <v>#DIV/0!</v>
      </c>
      <c r="C31" t="e">
        <f t="shared" si="16"/>
        <v>#DIV/0!</v>
      </c>
      <c r="D31" t="e">
        <f t="shared" si="17"/>
        <v>#DIV/0!</v>
      </c>
      <c r="E31" t="e">
        <f t="shared" si="11"/>
        <v>#DIV/0!</v>
      </c>
      <c r="F31" t="e">
        <f t="shared" si="18"/>
        <v>#DIV/0!</v>
      </c>
      <c r="G31" t="e">
        <f t="shared" si="19"/>
        <v>#DIV/0!</v>
      </c>
    </row>
    <row r="32" spans="1:7" x14ac:dyDescent="0.25">
      <c r="A32">
        <f t="shared" si="14"/>
        <v>14</v>
      </c>
      <c r="B32" t="e">
        <f t="shared" si="15"/>
        <v>#DIV/0!</v>
      </c>
      <c r="C32" t="e">
        <f t="shared" si="16"/>
        <v>#DIV/0!</v>
      </c>
      <c r="D32" t="e">
        <f t="shared" si="17"/>
        <v>#DIV/0!</v>
      </c>
      <c r="E32" t="e">
        <f t="shared" si="11"/>
        <v>#DIV/0!</v>
      </c>
      <c r="F32" t="e">
        <f t="shared" si="18"/>
        <v>#DIV/0!</v>
      </c>
      <c r="G32" t="e">
        <f t="shared" si="19"/>
        <v>#DIV/0!</v>
      </c>
    </row>
    <row r="33" spans="1:7" x14ac:dyDescent="0.25">
      <c r="A33">
        <f t="shared" si="14"/>
        <v>15</v>
      </c>
      <c r="B33" t="e">
        <f t="shared" si="15"/>
        <v>#DIV/0!</v>
      </c>
      <c r="C33" t="e">
        <f t="shared" si="16"/>
        <v>#DIV/0!</v>
      </c>
      <c r="D33" t="e">
        <f t="shared" si="17"/>
        <v>#DIV/0!</v>
      </c>
      <c r="E33" t="e">
        <f t="shared" si="11"/>
        <v>#DIV/0!</v>
      </c>
      <c r="F33" t="e">
        <f t="shared" si="18"/>
        <v>#DIV/0!</v>
      </c>
      <c r="G33" t="e">
        <f t="shared" si="19"/>
        <v>#DIV/0!</v>
      </c>
    </row>
    <row r="34" spans="1:7" x14ac:dyDescent="0.25">
      <c r="A34">
        <f t="shared" si="14"/>
        <v>16</v>
      </c>
      <c r="B34" t="e">
        <f t="shared" si="15"/>
        <v>#DIV/0!</v>
      </c>
      <c r="C34" t="e">
        <f t="shared" si="16"/>
        <v>#DIV/0!</v>
      </c>
      <c r="D34" t="e">
        <f t="shared" si="17"/>
        <v>#DIV/0!</v>
      </c>
      <c r="E34" t="e">
        <f t="shared" si="11"/>
        <v>#DIV/0!</v>
      </c>
      <c r="F34" t="e">
        <f t="shared" si="18"/>
        <v>#DIV/0!</v>
      </c>
      <c r="G34" t="e">
        <f t="shared" si="19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EJERCICIO1_BISECCION</vt:lpstr>
      <vt:lpstr>EJ1_NEWTON_RAPHSON</vt:lpstr>
      <vt:lpstr>SECANTE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2025-11-30T22:28:12Z</dcterms:created>
  <dcterms:modified xsi:type="dcterms:W3CDTF">2025-12-01T03:17:46Z</dcterms:modified>
</cp:coreProperties>
</file>